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awrence\Desktop\School\GATech\Spring 2026\PUBP 6727 Cyber Sec Practicum\SCAMRHelper\SCAMR_Helper\Evaluation\"/>
    </mc:Choice>
  </mc:AlternateContent>
  <xr:revisionPtr revIDLastSave="0" documentId="13_ncr:1_{AC6852EE-CCC2-4B78-9262-DF3DC395DF2E}" xr6:coauthVersionLast="47" xr6:coauthVersionMax="47" xr10:uidLastSave="{00000000-0000-0000-0000-000000000000}"/>
  <bookViews>
    <workbookView xWindow="-108" yWindow="-108" windowWidth="23256" windowHeight="12456" xr2:uid="{C543A99D-7C1A-4810-8B9D-26EDDC2E21C1}"/>
  </bookViews>
  <sheets>
    <sheet name="SCAMR_Helper_Modified_Results_f" sheetId="1" r:id="rId1"/>
  </sheets>
  <definedNames>
    <definedName name="_xlnm._FilterDatabase" localSheetId="0" hidden="1">SCAMR_Helper_Modified_Results_f!$A$1:$P$101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2" i="1"/>
  <c r="N2" i="1"/>
  <c r="N3" i="1"/>
  <c r="M4" i="1"/>
  <c r="N4" i="1"/>
  <c r="M5" i="1"/>
  <c r="N5" i="1"/>
  <c r="M6" i="1"/>
  <c r="N6" i="1"/>
  <c r="M7" i="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alcChain>
</file>

<file path=xl/sharedStrings.xml><?xml version="1.0" encoding="utf-8"?>
<sst xmlns="http://schemas.openxmlformats.org/spreadsheetml/2006/main" count="846" uniqueCount="272">
  <si>
    <t>version</t>
  </si>
  <si>
    <t>version2</t>
  </si>
  <si>
    <t>id</t>
  </si>
  <si>
    <t>severity</t>
  </si>
  <si>
    <t>msg</t>
  </si>
  <si>
    <t>verbose</t>
  </si>
  <si>
    <t>cwe</t>
  </si>
  <si>
    <t>inconclusive</t>
  </si>
  <si>
    <t>file</t>
  </si>
  <si>
    <t>line</t>
  </si>
  <si>
    <t>column</t>
  </si>
  <si>
    <t>info</t>
  </si>
  <si>
    <t>Hyperlink to Finding</t>
  </si>
  <si>
    <t>Hyperlink to MITRE CWE</t>
  </si>
  <si>
    <t>2.19.0</t>
  </si>
  <si>
    <t>legacyUninitvar</t>
  </si>
  <si>
    <t>error</t>
  </si>
  <si>
    <t>Uninitialized variable: *(&amp;amp;s)</t>
  </si>
  <si>
    <t>C:\Users\lawrence\Desktop\School\GATech\Spring 2026\PUBP 6727 Cyber Sec Practicum\SourceCodeRepos\GitHub\SCAMR_Helper_SampleSourceCode\Modules\_pickle.c</t>
  </si>
  <si>
    <t>missingReturn</t>
  </si>
  <si>
    <t>Found an exit path from function with non-void return type that has missing return statement</t>
  </si>
  <si>
    <t>C:\Users\lawrence\Desktop\School\GATech\Spring 2026\PUBP 6727 Cyber Sec Practicum\SourceCodeRepos\GitHub\SCAMR_Helper_SampleSourceCode\Modules\_testinternalcapi.c</t>
  </si>
  <si>
    <t>uninitvar</t>
  </si>
  <si>
    <t>Uninitialized variable: r</t>
  </si>
  <si>
    <t>arrayIndexOutOfBounds</t>
  </si>
  <si>
    <t>Array &amp;#039;decomp_prefix[18]&amp;#039; accessed at index 216, which is out of bounds.</t>
  </si>
  <si>
    <t>C:\Users\lawrence\Desktop\School\GATech\Spring 2026\PUBP 6727 Cyber Sec Practicum\SourceCodeRepos\GitHub\SCAMR_Helper_SampleSourceCode\Modules\unicodedata.c</t>
  </si>
  <si>
    <t>Assignment &amp;#039;prefix_index=decomp_data[index]&amp;amp;255&amp;#039;, assigned value is 216</t>
  </si>
  <si>
    <t>Assignment &amp;#039;index=0&amp;#039;, assigned value is 0</t>
  </si>
  <si>
    <t>C:\Users\lawrence\Desktop\School\GATech\Spring 2026\PUBP 6727 Cyber Sec Practicum\SourceCodeRepos\GitHub\SCAMR_Helper_SampleSourceCode\Modules\_ctypes\cfield.c</t>
  </si>
  <si>
    <t>warning</t>
  </si>
  <si>
    <t>Uninitialized variable: ptr</t>
  </si>
  <si>
    <t>Calling function &amp;#039;u64_set&amp;#039;, 1st argument &amp;#039;&amp;amp;val&amp;#039; value is &amp;lt;Uninit&amp;gt;</t>
  </si>
  <si>
    <t>funcArgOrderDifferent</t>
  </si>
  <si>
    <t>Function &amp;#039;PyCStructUnionType_update_stginfo&amp;#039; argument order different: declaration &amp;#039;fields, type, isStruct&amp;#039; definition &amp;#039;type, fields, isStruct&amp;#039;</t>
  </si>
  <si>
    <t>C:\Users\lawrence\Desktop\School\GATech\Spring 2026\PUBP 6727 Cyber Sec Practicum\SourceCodeRepos\GitHub\SCAMR_Helper_SampleSourceCode\Modules\_ctypes\stgdict.c</t>
  </si>
  <si>
    <t>C:\Users\lawrence\Desktop\School\GATech\Spring 2026\PUBP 6727 Cyber Sec Practicum\SourceCodeRepos\GitHub\SCAMR_Helper_SampleSourceCode\Modules\_ctypes\ctypes.h</t>
  </si>
  <si>
    <t>C:\Users\lawrence\Desktop\School\GATech\Spring 2026\PUBP 6727 Cyber Sec Practicum\SourceCodeRepos\GitHub\SCAMR_Helper_SampleSourceCode\Modules\_hacl\Hacl_Streaming_HMAC.c</t>
  </si>
  <si>
    <t>nullPointer</t>
  </si>
  <si>
    <t>Null pointer dereference: ptr</t>
  </si>
  <si>
    <t>C:\Users\lawrence\Desktop\School\GATech\Spring 2026\PUBP 6727 Cyber Sec Practicum\SourceCodeRepos\GitHub\SCAMR_Helper_SampleSourceCode\Modules\_multiprocessing\semaphore.c</t>
  </si>
  <si>
    <t>Null pointer dereference</t>
  </si>
  <si>
    <t>Assignment &amp;#039;ptr=NULL&amp;#039;, assigned value is 0</t>
  </si>
  <si>
    <t>Uninitialized variable: address</t>
  </si>
  <si>
    <t>C:\Users\lawrence\Desktop\School\GATech\Spring 2026\PUBP 6727 Cyber Sec Practicum\SourceCodeRepos\GitHub\SCAMR_Helper_SampleSourceCode\Python\remote_debug.h</t>
  </si>
  <si>
    <t>Assuming condition is false</t>
  </si>
  <si>
    <t>nullPointerRedundantCheck</t>
  </si>
  <si>
    <t>Either the condition &amp;#039;meta==NULL&amp;#039; is redundant or there is possible null pointer dereference: meta.</t>
  </si>
  <si>
    <t>C:\Users\lawrence\Desktop\School\GATech\Spring 2026\PUBP 6727 Cyber Sec Practicum\SourceCodeRepos\GitHub\SCAMR_Helper_SampleSourceCode\Modules\_remote_debugging\code_objects.c</t>
  </si>
  <si>
    <t>Assuming that condition &amp;#039;meta==NULL&amp;#039; is not redundant</t>
  </si>
  <si>
    <t>invalidPrintfArgType_uint</t>
  </si>
  <si>
    <t>%lu in format string (no. 2) requires &amp;#039;unsigned long&amp;#039; but the argument type is &amp;#039;unsigned long long&amp;#039;.</t>
  </si>
  <si>
    <t>C:\Users\lawrence\Desktop\School\GATech\Spring 2026\PUBP 6727 Cyber Sec Practicum\SourceCodeRepos\GitHub\SCAMR_Helper_SampleSourceCode\Modules\_remote_debugging\threads.c</t>
  </si>
  <si>
    <t>C:\Users\lawrence\Desktop\School\GATech\Spring 2026\PUBP 6727 Cyber Sec Practicum\SourceCodeRepos\GitHub\SCAMR_Helper_SampleSourceCode\Modules\_sqlite\row.c</t>
  </si>
  <si>
    <t>Uninitialized variable: j</t>
  </si>
  <si>
    <t>C:\Users\lawrence\Desktop\School\GATech\Spring 2026\PUBP 6727 Cyber Sec Practicum\SourceCodeRepos\GitHub\SCAMR_Helper_SampleSourceCode\Modules\_sre\sre.c</t>
  </si>
  <si>
    <t>C:\Users\lawrence\Desktop\School\GATech\Spring 2026\PUBP 6727 Cyber Sec Practicum\SourceCodeRepos\GitHub\SCAMR_Helper_SampleSourceCode\Modules\_testcapi\bytes.c</t>
  </si>
  <si>
    <t>C:\Users\lawrence\Desktop\School\GATech\Spring 2026\PUBP 6727 Cyber Sec Practicum\SourceCodeRepos\GitHub\SCAMR_Helper_SampleSourceCode\Modules\_testcapi\codec.c</t>
  </si>
  <si>
    <t>C:\Users\lawrence\Desktop\School\GATech\Spring 2026\PUBP 6727 Cyber Sec Practicum\SourceCodeRepos\GitHub\SCAMR_Helper_SampleSourceCode\Modules\_testcapi\config.c</t>
  </si>
  <si>
    <t>C:\Users\lawrence\Desktop\School\GATech\Spring 2026\PUBP 6727 Cyber Sec Practicum\SourceCodeRepos\GitHub\SCAMR_Helper_SampleSourceCode\Modules\_testcapi\docstring.c</t>
  </si>
  <si>
    <t>C:\Users\lawrence\Desktop\School\GATech\Spring 2026\PUBP 6727 Cyber Sec Practicum\SourceCodeRepos\GitHub\SCAMR_Helper_SampleSourceCode\Modules\_testcapi\function.c</t>
  </si>
  <si>
    <t>C:\Users\lawrence\Desktop\School\GATech\Spring 2026\PUBP 6727 Cyber Sec Practicum\SourceCodeRepos\GitHub\SCAMR_Helper_SampleSourceCode\Modules\_testcapi\gc.c</t>
  </si>
  <si>
    <t>C:\Users\lawrence\Desktop\School\GATech\Spring 2026\PUBP 6727 Cyber Sec Practicum\SourceCodeRepos\GitHub\SCAMR_Helper_SampleSourceCode\Modules\_testcapi\getargs.c</t>
  </si>
  <si>
    <t>C:\Users\lawrence\Desktop\School\GATech\Spring 2026\PUBP 6727 Cyber Sec Practicum\SourceCodeRepos\GitHub\SCAMR_Helper_SampleSourceCode\Modules\_testcapi\modsupport.c</t>
  </si>
  <si>
    <t>C:\Users\lawrence\Desktop\School\GATech\Spring 2026\PUBP 6727 Cyber Sec Practicum\SourceCodeRepos\GitHub\SCAMR_Helper_SampleSourceCode\Modules\_testcapi\module.c</t>
  </si>
  <si>
    <t>C:\Users\lawrence\Desktop\School\GATech\Spring 2026\PUBP 6727 Cyber Sec Practicum\SourceCodeRepos\GitHub\SCAMR_Helper_SampleSourceCode\Modules\_testcapi\type.c</t>
  </si>
  <si>
    <t>C:\Users\lawrence\Desktop\School\GATech\Spring 2026\PUBP 6727 Cyber Sec Practicum\SourceCodeRepos\GitHub\SCAMR_Helper_SampleSourceCode\Modules\_testcapi\unicode.c</t>
  </si>
  <si>
    <t>C:\Users\lawrence\Desktop\School\GATech\Spring 2026\PUBP 6727 Cyber Sec Practicum\SourceCodeRepos\GitHub\SCAMR_Helper_SampleSourceCode\Modules\_testcapi\vectorcall.c</t>
  </si>
  <si>
    <t>C:\Users\lawrence\Desktop\School\GATech\Spring 2026\PUBP 6727 Cyber Sec Practicum\SourceCodeRepos\GitHub\SCAMR_Helper_SampleSourceCode\Modules\_testcapi\watchers.c</t>
  </si>
  <si>
    <t>autoVariables</t>
  </si>
  <si>
    <t>Address of local auto-variable assigned to a function parameter.</t>
  </si>
  <si>
    <t>Dangerous assignment - the function parameter is assigned the address of a local auto-variable. Local auto-variables are reserved from the stack which is freed when the function ends. So the pointer to a local variable is invalid after the function ends.</t>
  </si>
  <si>
    <t>C:\Users\lawrence\Desktop\School\GATech\Spring 2026\PUBP 6727 Cyber Sec Practicum\SourceCodeRepos\GitHub\SCAMR_Helper_SampleSourceCode\Modules\_testinternalcapi\interpreter.c</t>
  </si>
  <si>
    <t>unusedLabelSwitchConfiguration</t>
  </si>
  <si>
    <t>Label &amp;#039;TARGET_WITH_EXCEPT_START&amp;#039; is not used. There is #if in function body so the label might be used in code that is removed by the preprocessor. Should this be a &amp;#039;case&amp;#039; of the enclosing switch()?</t>
  </si>
  <si>
    <t>C:\Users\lawrence\Desktop\School\GATech\Spring 2026\PUBP 6727 Cyber Sec Practicum\SourceCodeRepos\GitHub\SCAMR_Helper_SampleSourceCode\Modules\_testinternalcapi\test_cases.c.h</t>
  </si>
  <si>
    <t>Label &amp;#039;TARGET_YIELD_VALUE&amp;#039; is not used. There is #if in function body so the label might be used in code that is removed by the preprocessor. Should this be a &amp;#039;case&amp;#039; of the enclosing switch()?</t>
  </si>
  <si>
    <t>C:\Users\lawrence\Desktop\School\GATech\Spring 2026\PUBP 6727 Cyber Sec Practicum\SourceCodeRepos\GitHub\SCAMR_Helper_SampleSourceCode\Modules\_testinternalcapi\testbytecodes.c</t>
  </si>
  <si>
    <t>C:\Users\lawrence\Desktop\School\GATech\Spring 2026\PUBP 6727 Cyber Sec Practicum\SourceCodeRepos\GitHub\SCAMR_Helper_SampleSourceCode\Modules\_testlimitedcapi\bytes.c</t>
  </si>
  <si>
    <t>negativeIndex</t>
  </si>
  <si>
    <t>Array &amp;#039;items[4]&amp;#039; accessed at index -2, which is out of bounds.</t>
  </si>
  <si>
    <t>C:\Users\lawrence\Desktop\School\GATech\Spring 2026\PUBP 6727 Cyber Sec Practicum\SourceCodeRepos\GitHub\SCAMR_Helper_SampleSourceCode\Modules\_testlimitedcapi\codec.c</t>
  </si>
  <si>
    <t>Negative array index</t>
  </si>
  <si>
    <t>C:\Users\lawrence\Desktop\School\GATech\Spring 2026\PUBP 6727 Cyber Sec Practicum\SourceCodeRepos\GitHub\SCAMR_Helper_SampleSourceCode\Modules\_testlimitedcapi\dict.c</t>
  </si>
  <si>
    <t>C:\Users\lawrence\Desktop\School\GATech\Spring 2026\PUBP 6727 Cyber Sec Practicum\SourceCodeRepos\GitHub\SCAMR_Helper_SampleSourceCode\Modules\_testlimitedcapi\heaptype_relative.c</t>
  </si>
  <si>
    <t>C:\Users\lawrence\Desktop\School\GATech\Spring 2026\PUBP 6727 Cyber Sec Practicum\SourceCodeRepos\GitHub\SCAMR_Helper_SampleSourceCode\Modules\_testlimitedcapi\long.c</t>
  </si>
  <si>
    <t>Uninitialized variable: a</t>
  </si>
  <si>
    <t>C:\Users\lawrence\Desktop\School\GATech\Spring 2026\PUBP 6727 Cyber Sec Practicum\SourceCodeRepos\GitHub\SCAMR_Helper_SampleSourceCode\Modules\_testlimitedcapi\set.c</t>
  </si>
  <si>
    <t>C:\Users\lawrence\Desktop\School\GATech\Spring 2026\PUBP 6727 Cyber Sec Practicum\SourceCodeRepos\GitHub\SCAMR_Helper_SampleSourceCode\Modules\_testlimitedcapi\unicode.c</t>
  </si>
  <si>
    <t>nullPointerOutOfMemory</t>
  </si>
  <si>
    <t>If memory allocation fails, then there is a possible null pointer dereference: ptr</t>
  </si>
  <si>
    <t>C:\Users\lawrence\Desktop\School\GATech\Spring 2026\PUBP 6727 Cyber Sec Practicum\SourceCodeRepos\GitHub\SCAMR_Helper_SampleSourceCode\Modules\_zstd\_zstdmodule.c</t>
  </si>
  <si>
    <t>Assuming allocation function fails</t>
  </si>
  <si>
    <t>invalidFunctionArg</t>
  </si>
  <si>
    <t>Either the condition &amp;#039;(retstrsize)&amp;lt;0&amp;#039; is redundant or memcpy() argument nr 3 can have invalid value. The value is -1 but the valid values are &amp;#039;0:&amp;#039;.</t>
  </si>
  <si>
    <t>C:\Users\lawrence\Desktop\School\GATech\Spring 2026\PUBP 6727 Cyber Sec Practicum\SourceCodeRepos\GitHub\SCAMR_Helper_SampleSourceCode\Modules\cjkcodecs\multibytecodec.c</t>
  </si>
  <si>
    <t>Invalid argument</t>
  </si>
  <si>
    <t>Assuming that condition &amp;#039;(retstrsize)&amp;lt;0&amp;#039; is not redundant</t>
  </si>
  <si>
    <t>memleak</t>
  </si>
  <si>
    <t>Memory leak: sizeAndParser</t>
  </si>
  <si>
    <t>C:\Users\lawrence\Desktop\School\GATech\Spring 2026\PUBP 6727 Cyber Sec Practicum\SourceCodeRepos\GitHub\SCAMR_Helper_SampleSourceCode\Modules\expat\xmlparse.c</t>
  </si>
  <si>
    <t>C:\Users\lawrence\Desktop\School\GATech\Spring 2026\PUBP 6727 Cyber Sec Practicum\SourceCodeRepos\GitHub\SCAMR_Helper_SampleSourceCode\Objects\genericaliasobject.c</t>
  </si>
  <si>
    <t>C:\Users\lawrence\Desktop\School\GATech\Spring 2026\PUBP 6727 Cyber Sec Practicum\SourceCodeRepos\GitHub\SCAMR_Helper_SampleSourceCode\Objects\iterobject.c</t>
  </si>
  <si>
    <t>Uninitialized variable: seqsize</t>
  </si>
  <si>
    <t>C:\Users\lawrence\Desktop\School\GATech\Spring 2026\PUBP 6727 Cyber Sec Practicum\SourceCodeRepos\GitHub\SCAMR_Helper_SampleSourceCode\Objects\namespaceobject.c</t>
  </si>
  <si>
    <t>getsCalled</t>
  </si>
  <si>
    <t>Obsolete function &amp;#039;gets&amp;#039; called. It is recommended to use &amp;#039;fgets&amp;#039; or &amp;#039;gets_s&amp;#039; instead.</t>
  </si>
  <si>
    <t>The obsolete function &amp;#039;gets&amp;#039; is called. With &amp;#039;gets&amp;#039; you&amp;#039;ll get a buffer overrun if the input data exceeds the size of the buffer. It is recommended to use the functions &amp;#039;fgets&amp;#039; or &amp;#039;gets_s&amp;#039; instead.</t>
  </si>
  <si>
    <t>C:\Users\lawrence\Desktop\School\GATech\Spring 2026\PUBP 6727 Cyber Sec Practicum\SourceCodeRepos\GitHub\SCAMR_Helper_SampleSourceCode\Objects\odictobject.c</t>
  </si>
  <si>
    <t>C:\Users\lawrence\Desktop\School\GATech\Spring 2026\PUBP 6727 Cyber Sec Practicum\SourceCodeRepos\GitHub\SCAMR_Helper_SampleSourceCode\Objects\rangeobject.c</t>
  </si>
  <si>
    <t>Memory leak: ptr2</t>
  </si>
  <si>
    <t>C:\Users\lawrence\Desktop\School\GATech\Spring 2026\PUBP 6727 Cyber Sec Practicum\SourceCodeRepos\GitHub\SCAMR_Helper_SampleSourceCode\Objects\structseq.c</t>
  </si>
  <si>
    <t>C:\Users\lawrence\Desktop\School\GATech\Spring 2026\PUBP 6727 Cyber Sec Practicum\SourceCodeRepos\GitHub\SCAMR_Helper_SampleSourceCode\Objects\typevarobject.c</t>
  </si>
  <si>
    <t>Array &amp;#039;a[10]&amp;#039; accessed at index 12, which is out of bounds.</t>
  </si>
  <si>
    <t>C:\Users\lawrence\Desktop\School\GATech\Spring 2026\PUBP 6727 Cyber Sec Practicum\SourceCodeRepos\GitHub\SCAMR_Helper_SampleSourceCode\Objects\mimalloc\random.c</t>
  </si>
  <si>
    <t>Array index out of bounds</t>
  </si>
  <si>
    <t>Assignment &amp;#039;y=10&amp;#039;, assigned value is 10</t>
  </si>
  <si>
    <t>Array &amp;#039;a[10]&amp;#039; accessed at index 10, which is out of bounds.</t>
  </si>
  <si>
    <t>C:\Users\lawrence\Desktop\School\GATech\Spring 2026\PUBP 6727 Cyber Sec Practicum\SourceCodeRepos\GitHub\SCAMR_Helper_SampleSourceCode\Objects\mimalloc\stats.c</t>
  </si>
  <si>
    <t>doubleFree</t>
  </si>
  <si>
    <t>Memory pointed to by &amp;#039;ptr&amp;#039; is freed twice.</t>
  </si>
  <si>
    <t>C:\Users\lawrence\Desktop\School\GATech\Spring 2026\PUBP 6727 Cyber Sec Practicum\SourceCodeRepos\GitHub\SCAMR_Helper_SampleSourceCode\Objects\mimalloc\prim\unix\prim.c</t>
  </si>
  <si>
    <t>Uninitialized variable: info</t>
  </si>
  <si>
    <t>zerodiv</t>
  </si>
  <si>
    <t>Division by zero.</t>
  </si>
  <si>
    <t>C:\Users\lawrence\Desktop\School\GATech\Spring 2026\PUBP 6727 Cyber Sec Practicum\SourceCodeRepos\GitHub\SCAMR_Helper_SampleSourceCode\Parser\myreadline.c</t>
  </si>
  <si>
    <t>Division by zero</t>
  </si>
  <si>
    <t>Assignment &amp;#039;y=0&amp;#039;, assigned value is 0</t>
  </si>
  <si>
    <t>C:\Users\lawrence\Desktop\School\GATech\Spring 2026\PUBP 6727 Cyber Sec Practicum\SourceCodeRepos\GitHub\SCAMR_Helper_SampleSourceCode\Parser\lexer\state.c</t>
  </si>
  <si>
    <t>C:\Users\lawrence\Desktop\School\GATech\Spring 2026\PUBP 6727 Cyber Sec Practicum\SourceCodeRepos\GitHub\SCAMR_Helper_SampleSourceCode\Parser\tokenizer\string_tokenizer.c</t>
  </si>
  <si>
    <t>C:\Users\lawrence\Desktop\School\GATech\Spring 2026\PUBP 6727 Cyber Sec Practicum\SourceCodeRepos\GitHub\SCAMR_Helper_SampleSourceCode\Parser\tokenizer\utf8_tokenizer.c</t>
  </si>
  <si>
    <t>Assignment &amp;#039;a[0]=0&amp;#039;, assigned value is 0</t>
  </si>
  <si>
    <t>C:\Users\lawrence\Desktop\School\GATech\Spring 2026\PUBP 6727 Cyber Sec Practicum\SourceCodeRepos\GitHub\SCAMR_Helper_SampleSourceCode\Python\_warnings.c</t>
  </si>
  <si>
    <t>Array &amp;#039;array[5]&amp;#039; accessed at index 5, which is out of bounds.</t>
  </si>
  <si>
    <t>C:\Users\lawrence\Desktop\School\GATech\Spring 2026\PUBP 6727 Cyber Sec Practicum\SourceCodeRepos\GitHub\SCAMR_Helper_SampleSourceCode\Python\ast.c</t>
  </si>
  <si>
    <t>C:\Users\lawrence\Desktop\School\GATech\Spring 2026\PUBP 6727 Cyber Sec Practicum\SourceCodeRepos\GitHub\SCAMR_Helper_SampleSourceCode\Python\bltinmodule.c</t>
  </si>
  <si>
    <t>C:\Users\lawrence\Desktop\School\GATech\Spring 2026\PUBP 6727 Cyber Sec Practicum\SourceCodeRepos\GitHub\SCAMR_Helper_SampleSourceCode\Python\ceval.c</t>
  </si>
  <si>
    <t>Memory leak: ptr</t>
  </si>
  <si>
    <t>Either the condition &amp;#039;ctx==NULL&amp;#039; is redundant or there is possible null pointer dereference: ctx.</t>
  </si>
  <si>
    <t>C:\Users\lawrence\Desktop\School\GATech\Spring 2026\PUBP 6727 Cyber Sec Practicum\SourceCodeRepos\GitHub\SCAMR_Helper_SampleSourceCode\Python\crossinterp.c</t>
  </si>
  <si>
    <t>Assuming that condition &amp;#039;ctx==NULL&amp;#039; is not redundant</t>
  </si>
  <si>
    <t>Null pointer dereference: s_buf</t>
  </si>
  <si>
    <t>C:\Users\lawrence\Desktop\School\GATech\Spring 2026\PUBP 6727 Cyber Sec Practicum\SourceCodeRepos\GitHub\SCAMR_Helper_SampleSourceCode\Python\errors.c</t>
  </si>
  <si>
    <t>Assignment &amp;#039;s_buf=NULL&amp;#039;, assigned value is 0</t>
  </si>
  <si>
    <t>Null pointer dereference: p</t>
  </si>
  <si>
    <t>C:\Users\lawrence\Desktop\School\GATech\Spring 2026\PUBP 6727 Cyber Sec Practicum\SourceCodeRepos\GitHub\SCAMR_Helper_SampleSourceCode\Python\gc.c</t>
  </si>
  <si>
    <t>Assignment &amp;#039;p=0&amp;#039;, assigned value is 0</t>
  </si>
  <si>
    <t>Uninitialized variable: res</t>
  </si>
  <si>
    <t>C:\Users\lawrence\Desktop\School\GATech\Spring 2026\PUBP 6727 Cyber Sec Practicum\SourceCodeRepos\GitHub\SCAMR_Helper_SampleSourceCode\Python\instrumentation.c</t>
  </si>
  <si>
    <t>Uninitialized variable: wf.ptr</t>
  </si>
  <si>
    <t>C:\Users\lawrence\Desktop\School\GATech\Spring 2026\PUBP 6727 Cyber Sec Practicum\SourceCodeRepos\GitHub\SCAMR_Helper_SampleSourceCode\Python\marshal.c</t>
  </si>
  <si>
    <t>Assignment &amp;#039;wf.ptr=wf.buf=buf&amp;#039;, assigned value is &amp;lt;Uninit&amp;gt;</t>
  </si>
  <si>
    <t>invalidPrintfArgType_sint</t>
  </si>
  <si>
    <t>%d in format string (no. 2) requires &amp;#039;int&amp;#039; but the argument type is &amp;#039;unsigned int&amp;#039;.</t>
  </si>
  <si>
    <t>C:\Users\lawrence\Desktop\School\GATech\Spring 2026\PUBP 6727 Cyber Sec Practicum\SourceCodeRepos\GitHub\SCAMR_Helper_SampleSourceCode\Python\optimizer.c</t>
  </si>
  <si>
    <t>%d in format string (no. 4) requires &amp;#039;int&amp;#039; but the argument type is &amp;#039;unsigned int&amp;#039;.</t>
  </si>
  <si>
    <t>uselessAssignmentPtrArg</t>
  </si>
  <si>
    <t>Assignment of function parameter has no effect outside the function. Did you forget dereferencing it?</t>
  </si>
  <si>
    <t>C:\Users\lawrence\Desktop\School\GATech\Spring 2026\PUBP 6727 Cyber Sec Practicum\SourceCodeRepos\GitHub\SCAMR_Helper_SampleSourceCode\Python\record_functions.c.h</t>
  </si>
  <si>
    <t>Uninitialized variable: right</t>
  </si>
  <si>
    <t>C:\Users\lawrence\Desktop\School\GATech\Spring 2026\PUBP 6727 Cyber Sec Practicum\SourceCodeRepos\GitHub\SCAMR_Helper_SampleSourceCode\Python\optimizer_bytecodes.c</t>
  </si>
  <si>
    <t>Memory leak: buffer</t>
  </si>
  <si>
    <t>C:\Users\lawrence\Desktop\School\GATech\Spring 2026\PUBP 6727 Cyber Sec Practicum\SourceCodeRepos\GitHub\SCAMR_Helper_SampleSourceCode\Python\parking_lot.c</t>
  </si>
  <si>
    <t>checkCastIntToCharAndBack</t>
  </si>
  <si>
    <t>Storing fgetc() return value in char variable and then comparing with EOF.</t>
  </si>
  <si>
    <t>When saving fgetc() return value in char variable there is loss of precision.  When fgetc() returns EOF this value is truncated. Comparing the char variable with EOF can have unexpected results. For instance a loop &amp;quot;while (EOF != (c = fgetc());&amp;quot; loops forever on some compilers/platforms and on other compilers/platforms it will stop when the file contains a matching character.</t>
  </si>
  <si>
    <t>Uninitialized variable: ga_version</t>
  </si>
  <si>
    <t>C:\Users\lawrence\Desktop\School\GATech\Spring 2026\PUBP 6727 Cyber Sec Practicum\SourceCodeRepos\GitHub\SCAMR_Helper_SampleSourceCode\Python\specialize.c</t>
  </si>
  <si>
    <t>Assuming condition is true</t>
  </si>
  <si>
    <t>Flag</t>
  </si>
  <si>
    <t>SCAMR_HELPER{ladgf58MrZ}</t>
  </si>
  <si>
    <t>SCAMR_HELPER{Hwy53jNr7k}</t>
  </si>
  <si>
    <t>SCAMR_HELPER{44rUiqgxUQ}</t>
  </si>
  <si>
    <t>SCAMR_HELPER{mGyXmLSUen}</t>
  </si>
  <si>
    <t>SCAMR_HELPER{zgeVS66Co2}</t>
  </si>
  <si>
    <t>SCAMR_HELPER{1OMp3IMxWm}</t>
  </si>
  <si>
    <t>SCAMR_HELPER{bQtlpX97je}</t>
  </si>
  <si>
    <t>SCAMR_HELPER{2RR59n6Yed}</t>
  </si>
  <si>
    <t>SCAMR_HELPER{MN2sywCX4o}</t>
  </si>
  <si>
    <t>SCAMR_HELPER{8DrH7fjbYG}</t>
  </si>
  <si>
    <t>SCAMR_HELPER{4FwqVXGC7n}</t>
  </si>
  <si>
    <t>SCAMR_HELPER{6DFSlomtkD}</t>
  </si>
  <si>
    <t>SCAMR_HELPER{cj6O4iJpNH}</t>
  </si>
  <si>
    <t>SCAMR_HELPER{Nn4flyNXtW}</t>
  </si>
  <si>
    <t>SCAMR_HELPER{slpewqpmYU}</t>
  </si>
  <si>
    <t>SCAMR_HELPER{gcCPCHd2Ey}</t>
  </si>
  <si>
    <t>SCAMR_HELPER{AldUHSSYEs}</t>
  </si>
  <si>
    <t>SCAMR_HELPER{qKR05rFJNL}</t>
  </si>
  <si>
    <t>SCAMR_HELPER{PM6aVZ9q8y}</t>
  </si>
  <si>
    <t>SCAMR_HELPER{YsKk7xMv3N}</t>
  </si>
  <si>
    <t>SCAMR_HELPER{4tf5oMtZxp}</t>
  </si>
  <si>
    <t>SCAMR_HELPER{oTJxdvQCtL}</t>
  </si>
  <si>
    <t>SCAMR_HELPER{Y14a69i3Ju}</t>
  </si>
  <si>
    <t>SCAMR_HELPER{wdBRRPnqz2}</t>
  </si>
  <si>
    <t>SCAMR_HELPER{PbYSwhjJeo}</t>
  </si>
  <si>
    <t>SCAMR_HELPER{5diCmoSwtC}</t>
  </si>
  <si>
    <t>SCAMR_HELPER{u7S02AwmqV}</t>
  </si>
  <si>
    <t>SCAMR_HELPER{mVuktSErcZ}</t>
  </si>
  <si>
    <t>SCAMR_HELPER{kZJOyWFXmV}</t>
  </si>
  <si>
    <t>SCAMR_HELPER{iXn71dPBFC}</t>
  </si>
  <si>
    <t>SCAMR_HELPER{uil1Bxh5qm}</t>
  </si>
  <si>
    <t>SCAMR_HELPER{tO6DTOHX5i}</t>
  </si>
  <si>
    <t>SCAMR_HELPER{BoCRLgMzwy}</t>
  </si>
  <si>
    <t>SCAMR_HELPER{ZnrGVLoR9T}</t>
  </si>
  <si>
    <t>SCAMR_HELPER{StViAU7Z3z}</t>
  </si>
  <si>
    <t>SCAMR_HELPER{sC2Qx4y87X}</t>
  </si>
  <si>
    <t>SCAMR_HELPER{7VjiYbZ50p}</t>
  </si>
  <si>
    <t>SCAMR_HELPER{aPq3isJNRd}</t>
  </si>
  <si>
    <t>SCAMR_HELPER{OffUHGWIjR}</t>
  </si>
  <si>
    <t>SCAMR_HELPER{N6k07gWJYv}</t>
  </si>
  <si>
    <t>SCAMR_HELPER{89MkOym8Mj}</t>
  </si>
  <si>
    <t>SCAMR_HELPER{ODYHfgMzUh}</t>
  </si>
  <si>
    <t>SCAMR_HELPER{O0oKaGEXI2}</t>
  </si>
  <si>
    <t>SCAMR_HELPER{NfKyuxwaIZ}</t>
  </si>
  <si>
    <t>SCAMR_HELPER{9J1l7R9TUX}</t>
  </si>
  <si>
    <t>SCAMR_HELPER{E6wfRkybjk}</t>
  </si>
  <si>
    <t>SCAMR_HELPER{PKTT3CkVZO}</t>
  </si>
  <si>
    <t>SCAMR_HELPER{32SW8Sq13A}</t>
  </si>
  <si>
    <t>SCAMR_HELPER{yLT8Boi6nv}</t>
  </si>
  <si>
    <t>SCAMR_HELPER{GrLZov1X6k}</t>
  </si>
  <si>
    <t>SCAMR_HELPER{XY9mA0EpO6}</t>
  </si>
  <si>
    <t>SCAMR_HELPER{KpKJ1WvNwg}</t>
  </si>
  <si>
    <t>SCAMR_HELPER{WqL8FpYRA1}</t>
  </si>
  <si>
    <t>SCAMR_HELPER{7BrMqWIO4o}</t>
  </si>
  <si>
    <t>SCAMR_HELPER{UYfiT9KdxQ}</t>
  </si>
  <si>
    <t>SCAMR_HELPER{jojPKvSatm}</t>
  </si>
  <si>
    <t>SCAMR_HELPER{BFhJ2MOyWb}</t>
  </si>
  <si>
    <t>SCAMR_HELPER{tpJ9XztOYA}</t>
  </si>
  <si>
    <t>SCAMR_HELPER{24ds3wCwXw}</t>
  </si>
  <si>
    <t>SCAMR_HELPER{DCOOyv3ko2}</t>
  </si>
  <si>
    <t>SCAMR_HELPER{agPU4jx6Ce}</t>
  </si>
  <si>
    <t>SCAMR_HELPER{dkD6HoZPpx}</t>
  </si>
  <si>
    <t>SCAMR_HELPER{uQ0xsCyjuL}</t>
  </si>
  <si>
    <t>SCAMR_HELPER{UzHgCVQrLy}</t>
  </si>
  <si>
    <t>SCAMR_HELPER{R7sS8tshig}</t>
  </si>
  <si>
    <t>SCAMR_HELPER{Jdt1LMSCwl}</t>
  </si>
  <si>
    <t>SCAMR_HELPER{3P5qWczEs9}</t>
  </si>
  <si>
    <t>SCAMR_HELPER{yZwOhrBhE9}</t>
  </si>
  <si>
    <t>SCAMR_HELPER{q7rPFYO66Z}</t>
  </si>
  <si>
    <t>SCAMR_HELPER{q4RVyyO1Os}</t>
  </si>
  <si>
    <t>SCAMR_HELPER{ziZsBkCimx}</t>
  </si>
  <si>
    <t>SCAMR_HELPER{evmWfRMT54}</t>
  </si>
  <si>
    <t>SCAMR_HELPER{TByo1TN0Rx}</t>
  </si>
  <si>
    <t>SCAMR_HELPER{DtWreralR7}</t>
  </si>
  <si>
    <t>SCAMR_HELPER{8BFIedht9U}</t>
  </si>
  <si>
    <t>SCAMR_HELPER{2kDGiHUVKr}</t>
  </si>
  <si>
    <t>SCAMR_HELPER{rC7TfhquuY}</t>
  </si>
  <si>
    <t>SCAMR_HELPER{CJ1tAaPgHi}</t>
  </si>
  <si>
    <t>SCAMR_HELPER{ibNaHeTmOD}</t>
  </si>
  <si>
    <t>SCAMR_HELPER{fbCr6ZoOkG}</t>
  </si>
  <si>
    <t>SCAMR_HELPER{KFBRNL7hxT}</t>
  </si>
  <si>
    <t>SCAMR_HELPER{vmoUlpivmj}</t>
  </si>
  <si>
    <t>SCAMR_HELPER{BO8iHooMfo}</t>
  </si>
  <si>
    <t>SCAMR_HELPER{IY2QMDjT5d}</t>
  </si>
  <si>
    <t>SCAMR_HELPER{fC1TJT4JAP}</t>
  </si>
  <si>
    <t>SCAMR_HELPER{KPF4yokYFs}</t>
  </si>
  <si>
    <t>SCAMR_HELPER{G7rfm8t4ym}</t>
  </si>
  <si>
    <t>SCAMR_HELPER{SFJ1BE9mPY}</t>
  </si>
  <si>
    <t>SCAMR_HELPER{3NAIOz6z9z}</t>
  </si>
  <si>
    <t>SCAMR_HELPER{SZjUdJx7uw}</t>
  </si>
  <si>
    <t>SCAMR_HELPER{yI0f3d4DR3}</t>
  </si>
  <si>
    <t>SCAMR_HELPER{B9qY59DVAA}</t>
  </si>
  <si>
    <t>SCAMR_HELPER{zSDzKC9u60}</t>
  </si>
  <si>
    <t>SCAMR_HELPER{c6yPh02iNa}</t>
  </si>
  <si>
    <t>SCAMR_HELPER{gdlAjQoWMn}</t>
  </si>
  <si>
    <t>SCAMR_HELPER{xrebqedqW0}</t>
  </si>
  <si>
    <t>SCAMR_HELPER{PBQqJdHu37}</t>
  </si>
  <si>
    <t>SCAMR_HELPER{fPRsIovlja}</t>
  </si>
  <si>
    <t>SCAMR_HELPER{v2ycPVz5LV}</t>
  </si>
  <si>
    <t>Group</t>
  </si>
  <si>
    <t>Control</t>
  </si>
  <si>
    <t>Experimental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</si>
</sst>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F707-EACA-4CDF-A2C5-72AD5D013B59}">
  <sheetPr filterMode="1"/>
  <dimension ref="A1:P101"/>
  <sheetViews>
    <sheetView tabSelected="1" topLeftCell="I1" zoomScale="63" workbookViewId="0">
      <selection activeCell="S43" sqref="S43"/>
    </sheetView>
  </sheetViews>
  <sheetFormatPr defaultRowHeight="14.4" x14ac:dyDescent="0.3"/>
  <cols>
    <col min="9" max="9" width="166" bestFit="1" customWidth="1"/>
    <col min="13" max="13" width="43.77734375" bestFit="1" customWidth="1"/>
    <col min="14" max="14" width="20.109375" bestFit="1" customWidth="1"/>
    <col min="15" max="15" width="37.21875" customWidth="1"/>
    <col min="16" max="16" width="14.88671875" customWidth="1"/>
    <col min="17" max="17" width="11.5546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169</v>
      </c>
      <c r="P1" t="s">
        <v>269</v>
      </c>
    </row>
    <row r="2" spans="1:16" hidden="1" x14ac:dyDescent="0.3">
      <c r="A2">
        <v>2</v>
      </c>
      <c r="B2" t="s">
        <v>14</v>
      </c>
      <c r="C2" t="s">
        <v>15</v>
      </c>
      <c r="D2" t="s">
        <v>16</v>
      </c>
      <c r="E2" t="s">
        <v>17</v>
      </c>
      <c r="F2" t="s">
        <v>17</v>
      </c>
      <c r="G2">
        <v>457</v>
      </c>
      <c r="I2" t="s">
        <v>18</v>
      </c>
      <c r="J2">
        <v>7052</v>
      </c>
      <c r="K2">
        <v>9</v>
      </c>
      <c r="M2" t="str">
        <f>HYPERLINK("https://github.com/lawrencekim5/SCAMR_Helper_SampleSourceCode/blob/main/\Modules\_pickle.c#L7052", "\Modules\_pickle.c#L7052")</f>
        <v>\Modules\_pickle.c#L7052</v>
      </c>
      <c r="N2" t="str">
        <f>HYPERLINK("https://cwe.mitre.org/data/definitions/457.html", "CWE: 457")</f>
        <v>CWE: 457</v>
      </c>
      <c r="O2" t="s">
        <v>170</v>
      </c>
      <c r="P2" t="s">
        <v>270</v>
      </c>
    </row>
    <row r="3" spans="1:16" x14ac:dyDescent="0.3">
      <c r="A3">
        <v>2</v>
      </c>
      <c r="B3" t="s">
        <v>14</v>
      </c>
      <c r="C3" t="s">
        <v>19</v>
      </c>
      <c r="D3" t="s">
        <v>16</v>
      </c>
      <c r="E3" t="s">
        <v>20</v>
      </c>
      <c r="F3" t="s">
        <v>20</v>
      </c>
      <c r="G3">
        <v>758</v>
      </c>
      <c r="I3" t="s">
        <v>21</v>
      </c>
      <c r="J3">
        <v>2753</v>
      </c>
      <c r="K3">
        <v>5</v>
      </c>
      <c r="M3" s="1" t="str">
        <f>HYPERLINK("https://github.com/lawrencekim5/SCAMR_Helper_SampleSourceCode/blob/main/\Modules\_testinternalcapi.c#L2753", "\Modules\_testinternalcapi.c#L2753")</f>
        <v>\Modules\_testinternalcapi.c#L2753</v>
      </c>
      <c r="N3" t="str">
        <f>HYPERLINK("https://cwe.mitre.org/data/definitions/758.html", "CWE: 758")</f>
        <v>CWE: 758</v>
      </c>
      <c r="O3" t="s">
        <v>171</v>
      </c>
      <c r="P3" t="s">
        <v>271</v>
      </c>
    </row>
    <row r="4" spans="1:16" hidden="1" x14ac:dyDescent="0.3">
      <c r="A4">
        <v>2</v>
      </c>
      <c r="B4" t="s">
        <v>14</v>
      </c>
      <c r="C4" t="s">
        <v>22</v>
      </c>
      <c r="D4" t="s">
        <v>16</v>
      </c>
      <c r="E4" t="s">
        <v>23</v>
      </c>
      <c r="F4" t="s">
        <v>23</v>
      </c>
      <c r="G4">
        <v>457</v>
      </c>
      <c r="I4" t="s">
        <v>21</v>
      </c>
      <c r="J4">
        <v>1699</v>
      </c>
      <c r="K4">
        <v>14</v>
      </c>
      <c r="M4" t="str">
        <f>HYPERLINK("https://github.com/lawrencekim5/SCAMR_Helper_SampleSourceCode/blob/main/\Modules\_testinternalcapi.c#L1699", "\Modules\_testinternalcapi.c#L1699")</f>
        <v>\Modules\_testinternalcapi.c#L1699</v>
      </c>
      <c r="N4" t="str">
        <f>HYPERLINK("https://cwe.mitre.org/data/definitions/457.html", "CWE: 457")</f>
        <v>CWE: 457</v>
      </c>
      <c r="O4" t="s">
        <v>172</v>
      </c>
      <c r="P4" t="s">
        <v>270</v>
      </c>
    </row>
    <row r="5" spans="1:16" x14ac:dyDescent="0.3">
      <c r="A5">
        <v>2</v>
      </c>
      <c r="B5" t="s">
        <v>14</v>
      </c>
      <c r="C5" t="s">
        <v>24</v>
      </c>
      <c r="D5" t="s">
        <v>16</v>
      </c>
      <c r="E5" t="s">
        <v>25</v>
      </c>
      <c r="F5" t="s">
        <v>25</v>
      </c>
      <c r="G5">
        <v>788</v>
      </c>
      <c r="I5" t="s">
        <v>26</v>
      </c>
      <c r="J5">
        <v>481</v>
      </c>
      <c r="K5">
        <v>39</v>
      </c>
      <c r="L5" t="s">
        <v>27</v>
      </c>
      <c r="M5" t="str">
        <f>HYPERLINK("https://github.com/lawrencekim5/SCAMR_Helper_SampleSourceCode/blob/main/\Modules\unicodedata.c#L481", "\Modules\unicodedata.c#L481")</f>
        <v>\Modules\unicodedata.c#L481</v>
      </c>
      <c r="N5" t="str">
        <f>HYPERLINK("https://cwe.mitre.org/data/definitions/788.html", "CWE: 788")</f>
        <v>CWE: 788</v>
      </c>
      <c r="O5" t="s">
        <v>173</v>
      </c>
      <c r="P5" t="s">
        <v>271</v>
      </c>
    </row>
    <row r="6" spans="1:16" hidden="1" x14ac:dyDescent="0.3">
      <c r="A6">
        <v>2</v>
      </c>
      <c r="B6" t="s">
        <v>14</v>
      </c>
      <c r="C6" t="s">
        <v>24</v>
      </c>
      <c r="D6" t="s">
        <v>16</v>
      </c>
      <c r="E6" t="s">
        <v>25</v>
      </c>
      <c r="F6" t="s">
        <v>25</v>
      </c>
      <c r="G6">
        <v>788</v>
      </c>
      <c r="I6" t="s">
        <v>26</v>
      </c>
      <c r="J6">
        <v>464</v>
      </c>
      <c r="K6">
        <v>17</v>
      </c>
      <c r="L6" t="s">
        <v>28</v>
      </c>
      <c r="M6" t="str">
        <f>HYPERLINK("https://github.com/lawrencekim5/SCAMR_Helper_SampleSourceCode/blob/main/\Modules\unicodedata.c#L464", "\Modules\unicodedata.c#L464")</f>
        <v>\Modules\unicodedata.c#L464</v>
      </c>
      <c r="N6" t="str">
        <f>HYPERLINK("https://cwe.mitre.org/data/definitions/788.html", "CWE: 788")</f>
        <v>CWE: 788</v>
      </c>
      <c r="O6" t="s">
        <v>174</v>
      </c>
      <c r="P6" t="s">
        <v>270</v>
      </c>
    </row>
    <row r="7" spans="1:16" x14ac:dyDescent="0.3">
      <c r="A7">
        <v>2</v>
      </c>
      <c r="B7" t="s">
        <v>14</v>
      </c>
      <c r="C7" t="s">
        <v>19</v>
      </c>
      <c r="D7" t="s">
        <v>16</v>
      </c>
      <c r="E7" t="s">
        <v>20</v>
      </c>
      <c r="F7" t="s">
        <v>20</v>
      </c>
      <c r="G7">
        <v>758</v>
      </c>
      <c r="I7" t="s">
        <v>29</v>
      </c>
      <c r="J7">
        <v>1352</v>
      </c>
      <c r="K7">
        <v>20</v>
      </c>
      <c r="M7" t="str">
        <f>HYPERLINK("https://github.com/lawrencekim5/SCAMR_Helper_SampleSourceCode/blob/main/\Modules\_ctypes\cfield.c#L1352", "\Modules\_ctypes\cfield.c#L1352")</f>
        <v>\Modules\_ctypes\cfield.c#L1352</v>
      </c>
      <c r="N7" t="str">
        <f>HYPERLINK("https://cwe.mitre.org/data/definitions/758.html", "CWE: 758")</f>
        <v>CWE: 758</v>
      </c>
      <c r="O7" t="s">
        <v>175</v>
      </c>
      <c r="P7" t="s">
        <v>271</v>
      </c>
    </row>
    <row r="8" spans="1:16" hidden="1" x14ac:dyDescent="0.3">
      <c r="A8">
        <v>2</v>
      </c>
      <c r="B8" t="s">
        <v>14</v>
      </c>
      <c r="C8" t="s">
        <v>22</v>
      </c>
      <c r="D8" t="s">
        <v>30</v>
      </c>
      <c r="E8" t="s">
        <v>31</v>
      </c>
      <c r="F8" t="s">
        <v>31</v>
      </c>
      <c r="G8">
        <v>457</v>
      </c>
      <c r="I8" t="s">
        <v>29</v>
      </c>
      <c r="J8">
        <v>647</v>
      </c>
      <c r="K8">
        <v>1</v>
      </c>
      <c r="L8" t="s">
        <v>32</v>
      </c>
      <c r="M8" t="str">
        <f>HYPERLINK("https://github.com/lawrencekim5/SCAMR_Helper_SampleSourceCode/blob/main/\Modules\_ctypes\cfield.c#L647", "\Modules\_ctypes\cfield.c#L647")</f>
        <v>\Modules\_ctypes\cfield.c#L647</v>
      </c>
      <c r="N8" t="str">
        <f>HYPERLINK("https://cwe.mitre.org/data/definitions/457.html", "CWE: 457")</f>
        <v>CWE: 457</v>
      </c>
      <c r="O8" t="s">
        <v>176</v>
      </c>
      <c r="P8" t="s">
        <v>270</v>
      </c>
    </row>
    <row r="9" spans="1:16" x14ac:dyDescent="0.3">
      <c r="A9">
        <v>2</v>
      </c>
      <c r="B9" t="s">
        <v>14</v>
      </c>
      <c r="C9" t="s">
        <v>33</v>
      </c>
      <c r="D9" t="s">
        <v>30</v>
      </c>
      <c r="E9" t="s">
        <v>34</v>
      </c>
      <c r="F9" t="s">
        <v>34</v>
      </c>
      <c r="G9">
        <v>683</v>
      </c>
      <c r="I9" t="s">
        <v>35</v>
      </c>
      <c r="J9">
        <v>226</v>
      </c>
      <c r="K9">
        <v>45</v>
      </c>
      <c r="M9" t="str">
        <f>HYPERLINK("https://github.com/lawrencekim5/SCAMR_Helper_SampleSourceCode/blob/main/\Modules\_ctypes\stgdict.c#L226", "\Modules\_ctypes\stgdict.c#L226")</f>
        <v>\Modules\_ctypes\stgdict.c#L226</v>
      </c>
      <c r="N9" t="str">
        <f>HYPERLINK("https://cwe.mitre.org/data/definitions/683.html", "CWE: 683")</f>
        <v>CWE: 683</v>
      </c>
      <c r="O9" t="s">
        <v>177</v>
      </c>
      <c r="P9" t="s">
        <v>271</v>
      </c>
    </row>
    <row r="10" spans="1:16" hidden="1" x14ac:dyDescent="0.3">
      <c r="A10">
        <v>2</v>
      </c>
      <c r="B10" t="s">
        <v>14</v>
      </c>
      <c r="C10" t="s">
        <v>33</v>
      </c>
      <c r="D10" t="s">
        <v>30</v>
      </c>
      <c r="E10" t="s">
        <v>34</v>
      </c>
      <c r="F10" t="s">
        <v>34</v>
      </c>
      <c r="G10">
        <v>683</v>
      </c>
      <c r="I10" t="s">
        <v>36</v>
      </c>
      <c r="J10">
        <v>245</v>
      </c>
      <c r="K10">
        <v>56</v>
      </c>
      <c r="M10" t="str">
        <f>HYPERLINK("https://github.com/lawrencekim5/SCAMR_Helper_SampleSourceCode/blob/main/\Modules\_ctypes\ctypes.h#L245", "\Modules\_ctypes\ctypes.h#L245")</f>
        <v>\Modules\_ctypes\ctypes.h#L245</v>
      </c>
      <c r="N10" t="str">
        <f>HYPERLINK("https://cwe.mitre.org/data/definitions/683.html", "CWE: 683")</f>
        <v>CWE: 683</v>
      </c>
      <c r="O10" t="s">
        <v>178</v>
      </c>
      <c r="P10" t="s">
        <v>270</v>
      </c>
    </row>
    <row r="11" spans="1:16" x14ac:dyDescent="0.3">
      <c r="A11">
        <v>2</v>
      </c>
      <c r="B11" t="s">
        <v>14</v>
      </c>
      <c r="C11" t="s">
        <v>19</v>
      </c>
      <c r="D11" t="s">
        <v>16</v>
      </c>
      <c r="E11" t="s">
        <v>20</v>
      </c>
      <c r="F11" t="s">
        <v>20</v>
      </c>
      <c r="G11">
        <v>758</v>
      </c>
      <c r="I11" t="s">
        <v>37</v>
      </c>
      <c r="J11">
        <v>509</v>
      </c>
      <c r="K11">
        <v>9</v>
      </c>
      <c r="M11" t="str">
        <f>HYPERLINK("https://github.com/lawrencekim5/SCAMR_Helper_SampleSourceCode/blob/main/\Modules\_hacl\Hacl_Streaming_HMAC.c#L509", "\Modules\_hacl\Hacl_Streaming_HMAC.c#L509")</f>
        <v>\Modules\_hacl\Hacl_Streaming_HMAC.c#L509</v>
      </c>
      <c r="N11" t="str">
        <f>HYPERLINK("https://cwe.mitre.org/data/definitions/758.html", "CWE: 758")</f>
        <v>CWE: 758</v>
      </c>
      <c r="O11" t="s">
        <v>179</v>
      </c>
      <c r="P11" t="s">
        <v>271</v>
      </c>
    </row>
    <row r="12" spans="1:16" hidden="1" x14ac:dyDescent="0.3">
      <c r="A12">
        <v>2</v>
      </c>
      <c r="B12" t="s">
        <v>14</v>
      </c>
      <c r="C12" t="s">
        <v>38</v>
      </c>
      <c r="D12" t="s">
        <v>16</v>
      </c>
      <c r="E12" t="s">
        <v>39</v>
      </c>
      <c r="F12" t="s">
        <v>39</v>
      </c>
      <c r="G12">
        <v>476</v>
      </c>
      <c r="I12" t="s">
        <v>40</v>
      </c>
      <c r="J12">
        <v>71</v>
      </c>
      <c r="K12">
        <v>19</v>
      </c>
      <c r="L12" t="s">
        <v>41</v>
      </c>
      <c r="M12" t="str">
        <f>HYPERLINK("https://github.com/lawrencekim5/SCAMR_Helper_SampleSourceCode/blob/main/\Modules\_multiprocessing\semaphore.c#L71", "\Modules\_multiprocessing\semaphore.c#L71")</f>
        <v>\Modules\_multiprocessing\semaphore.c#L71</v>
      </c>
      <c r="N12" t="str">
        <f>HYPERLINK("https://cwe.mitre.org/data/definitions/476.html", "CWE: 476")</f>
        <v>CWE: 476</v>
      </c>
      <c r="O12" t="s">
        <v>180</v>
      </c>
      <c r="P12" t="s">
        <v>270</v>
      </c>
    </row>
    <row r="13" spans="1:16" x14ac:dyDescent="0.3">
      <c r="A13">
        <v>2</v>
      </c>
      <c r="B13" t="s">
        <v>14</v>
      </c>
      <c r="C13" t="s">
        <v>38</v>
      </c>
      <c r="D13" t="s">
        <v>16</v>
      </c>
      <c r="E13" t="s">
        <v>39</v>
      </c>
      <c r="F13" t="s">
        <v>39</v>
      </c>
      <c r="G13">
        <v>476</v>
      </c>
      <c r="I13" t="s">
        <v>40</v>
      </c>
      <c r="J13">
        <v>70</v>
      </c>
      <c r="K13">
        <v>16</v>
      </c>
      <c r="L13" t="s">
        <v>42</v>
      </c>
      <c r="M13" t="str">
        <f>HYPERLINK("https://github.com/lawrencekim5/SCAMR_Helper_SampleSourceCode/blob/main/\Modules\_multiprocessing\semaphore.c#L70", "\Modules\_multiprocessing\semaphore.c#L70")</f>
        <v>\Modules\_multiprocessing\semaphore.c#L70</v>
      </c>
      <c r="N13" t="str">
        <f>HYPERLINK("https://cwe.mitre.org/data/definitions/476.html", "CWE: 476")</f>
        <v>CWE: 476</v>
      </c>
      <c r="O13" t="s">
        <v>181</v>
      </c>
      <c r="P13" t="s">
        <v>271</v>
      </c>
    </row>
    <row r="14" spans="1:16" hidden="1" x14ac:dyDescent="0.3">
      <c r="A14">
        <v>2</v>
      </c>
      <c r="B14" t="s">
        <v>14</v>
      </c>
      <c r="C14" t="s">
        <v>22</v>
      </c>
      <c r="D14" t="s">
        <v>30</v>
      </c>
      <c r="E14" t="s">
        <v>43</v>
      </c>
      <c r="F14" t="s">
        <v>43</v>
      </c>
      <c r="G14">
        <v>457</v>
      </c>
      <c r="I14" t="s">
        <v>44</v>
      </c>
      <c r="J14">
        <v>930</v>
      </c>
      <c r="K14">
        <v>47</v>
      </c>
      <c r="L14" t="s">
        <v>45</v>
      </c>
      <c r="M14" t="str">
        <f>HYPERLINK("https://github.com/lawrencekim5/SCAMR_Helper_SampleSourceCode/blob/main/\Python\remote_debug.h#L930", "\Python\remote_debug.h#L930")</f>
        <v>\Python\remote_debug.h#L930</v>
      </c>
      <c r="N14" t="str">
        <f>HYPERLINK("https://cwe.mitre.org/data/definitions/457.html", "CWE: 457")</f>
        <v>CWE: 457</v>
      </c>
      <c r="O14" t="s">
        <v>182</v>
      </c>
      <c r="P14" t="s">
        <v>270</v>
      </c>
    </row>
    <row r="15" spans="1:16" x14ac:dyDescent="0.3">
      <c r="A15">
        <v>2</v>
      </c>
      <c r="B15" t="s">
        <v>14</v>
      </c>
      <c r="C15" t="s">
        <v>46</v>
      </c>
      <c r="D15" t="s">
        <v>30</v>
      </c>
      <c r="E15" t="s">
        <v>47</v>
      </c>
      <c r="F15" t="s">
        <v>47</v>
      </c>
      <c r="G15">
        <v>476</v>
      </c>
      <c r="I15" t="s">
        <v>48</v>
      </c>
      <c r="J15">
        <v>367</v>
      </c>
      <c r="K15">
        <v>14</v>
      </c>
      <c r="L15" t="s">
        <v>49</v>
      </c>
      <c r="M15" t="str">
        <f>HYPERLINK("https://github.com/lawrencekim5/SCAMR_Helper_SampleSourceCode/blob/main/\Modules\_remote_debugging\code_objects.c#L367", "\Modules\_remote_debugging\code_objects.c#L367")</f>
        <v>\Modules\_remote_debugging\code_objects.c#L367</v>
      </c>
      <c r="N15" t="str">
        <f>HYPERLINK("https://cwe.mitre.org/data/definitions/476.html", "CWE: 476")</f>
        <v>CWE: 476</v>
      </c>
      <c r="O15" t="s">
        <v>183</v>
      </c>
      <c r="P15" t="s">
        <v>271</v>
      </c>
    </row>
    <row r="16" spans="1:16" hidden="1" x14ac:dyDescent="0.3">
      <c r="A16">
        <v>2</v>
      </c>
      <c r="B16" t="s">
        <v>14</v>
      </c>
      <c r="C16" t="s">
        <v>50</v>
      </c>
      <c r="D16" t="s">
        <v>30</v>
      </c>
      <c r="E16" t="s">
        <v>51</v>
      </c>
      <c r="F16" t="s">
        <v>51</v>
      </c>
      <c r="G16">
        <v>686</v>
      </c>
      <c r="I16" t="s">
        <v>52</v>
      </c>
      <c r="J16">
        <v>194</v>
      </c>
      <c r="K16">
        <v>5</v>
      </c>
      <c r="M16" t="str">
        <f>HYPERLINK("https://github.com/lawrencekim5/SCAMR_Helper_SampleSourceCode/blob/main/\Modules\_remote_debugging\threads.c#L194", "\Modules\_remote_debugging\threads.c#L194")</f>
        <v>\Modules\_remote_debugging\threads.c#L194</v>
      </c>
      <c r="N16" t="str">
        <f>HYPERLINK("https://cwe.mitre.org/data/definitions/686.html", "CWE: 686")</f>
        <v>CWE: 686</v>
      </c>
      <c r="O16" t="s">
        <v>184</v>
      </c>
      <c r="P16" t="s">
        <v>270</v>
      </c>
    </row>
    <row r="17" spans="1:16" x14ac:dyDescent="0.3">
      <c r="A17">
        <v>2</v>
      </c>
      <c r="B17" t="s">
        <v>14</v>
      </c>
      <c r="C17" t="s">
        <v>19</v>
      </c>
      <c r="D17" t="s">
        <v>16</v>
      </c>
      <c r="E17" t="s">
        <v>20</v>
      </c>
      <c r="F17" t="s">
        <v>20</v>
      </c>
      <c r="G17">
        <v>758</v>
      </c>
      <c r="I17" t="s">
        <v>53</v>
      </c>
      <c r="J17">
        <v>256</v>
      </c>
      <c r="K17">
        <v>5</v>
      </c>
      <c r="M17" t="str">
        <f>HYPERLINK("https://github.com/lawrencekim5/SCAMR_Helper_SampleSourceCode/blob/main/\Modules\_sqlite\row.c#L256", "\Modules\_sqlite\row.c#L256")</f>
        <v>\Modules\_sqlite\row.c#L256</v>
      </c>
      <c r="N17" t="str">
        <f>HYPERLINK("https://cwe.mitre.org/data/definitions/758.html", "CWE: 758")</f>
        <v>CWE: 758</v>
      </c>
      <c r="O17" t="s">
        <v>185</v>
      </c>
      <c r="P17" t="s">
        <v>271</v>
      </c>
    </row>
    <row r="18" spans="1:16" hidden="1" x14ac:dyDescent="0.3">
      <c r="A18">
        <v>2</v>
      </c>
      <c r="B18" t="s">
        <v>14</v>
      </c>
      <c r="C18" t="s">
        <v>15</v>
      </c>
      <c r="D18" t="s">
        <v>16</v>
      </c>
      <c r="E18" t="s">
        <v>54</v>
      </c>
      <c r="F18" t="s">
        <v>54</v>
      </c>
      <c r="G18">
        <v>457</v>
      </c>
      <c r="I18" t="s">
        <v>55</v>
      </c>
      <c r="J18">
        <v>679</v>
      </c>
      <c r="K18">
        <v>66</v>
      </c>
      <c r="M18" t="str">
        <f>HYPERLINK("https://github.com/lawrencekim5/SCAMR_Helper_SampleSourceCode/blob/main/\Modules\_sre\sre.c#L679", "\Modules\_sre\sre.c#L679")</f>
        <v>\Modules\_sre\sre.c#L679</v>
      </c>
      <c r="N18" t="str">
        <f>HYPERLINK("https://cwe.mitre.org/data/definitions/457.html", "CWE: 457")</f>
        <v>CWE: 457</v>
      </c>
      <c r="O18" t="s">
        <v>186</v>
      </c>
      <c r="P18" t="s">
        <v>270</v>
      </c>
    </row>
    <row r="19" spans="1:16" x14ac:dyDescent="0.3">
      <c r="A19">
        <v>2</v>
      </c>
      <c r="B19" t="s">
        <v>14</v>
      </c>
      <c r="C19" t="s">
        <v>19</v>
      </c>
      <c r="D19" t="s">
        <v>16</v>
      </c>
      <c r="E19" t="s">
        <v>20</v>
      </c>
      <c r="F19" t="s">
        <v>20</v>
      </c>
      <c r="G19">
        <v>758</v>
      </c>
      <c r="I19" t="s">
        <v>56</v>
      </c>
      <c r="J19">
        <v>160</v>
      </c>
      <c r="K19">
        <v>5</v>
      </c>
      <c r="M19" t="str">
        <f>HYPERLINK("https://github.com/lawrencekim5/SCAMR_Helper_SampleSourceCode/blob/main/\Modules\_testcapi\bytes.c#L160", "\Modules\_testcapi\bytes.c#L160")</f>
        <v>\Modules\_testcapi\bytes.c#L160</v>
      </c>
      <c r="N19" t="str">
        <f t="shared" ref="N19:N35" si="0">HYPERLINK("https://cwe.mitre.org/data/definitions/758.html", "CWE: 758")</f>
        <v>CWE: 758</v>
      </c>
      <c r="O19" t="s">
        <v>187</v>
      </c>
      <c r="P19" t="s">
        <v>271</v>
      </c>
    </row>
    <row r="20" spans="1:16" hidden="1" x14ac:dyDescent="0.3">
      <c r="A20">
        <v>2</v>
      </c>
      <c r="B20" t="s">
        <v>14</v>
      </c>
      <c r="C20" t="s">
        <v>19</v>
      </c>
      <c r="D20" t="s">
        <v>16</v>
      </c>
      <c r="E20" t="s">
        <v>20</v>
      </c>
      <c r="F20" t="s">
        <v>20</v>
      </c>
      <c r="G20">
        <v>758</v>
      </c>
      <c r="I20" t="s">
        <v>56</v>
      </c>
      <c r="J20">
        <v>181</v>
      </c>
      <c r="K20">
        <v>5</v>
      </c>
      <c r="M20" t="str">
        <f>HYPERLINK("https://github.com/lawrencekim5/SCAMR_Helper_SampleSourceCode/blob/main/\Modules\_testcapi\bytes.c#L181", "\Modules\_testcapi\bytes.c#L181")</f>
        <v>\Modules\_testcapi\bytes.c#L181</v>
      </c>
      <c r="N20" t="str">
        <f t="shared" si="0"/>
        <v>CWE: 758</v>
      </c>
      <c r="O20" t="s">
        <v>188</v>
      </c>
      <c r="P20" t="s">
        <v>270</v>
      </c>
    </row>
    <row r="21" spans="1:16" x14ac:dyDescent="0.3">
      <c r="A21">
        <v>2</v>
      </c>
      <c r="B21" t="s">
        <v>14</v>
      </c>
      <c r="C21" t="s">
        <v>19</v>
      </c>
      <c r="D21" t="s">
        <v>16</v>
      </c>
      <c r="E21" t="s">
        <v>20</v>
      </c>
      <c r="F21" t="s">
        <v>20</v>
      </c>
      <c r="G21">
        <v>758</v>
      </c>
      <c r="I21" t="s">
        <v>57</v>
      </c>
      <c r="J21">
        <v>138</v>
      </c>
      <c r="K21">
        <v>5</v>
      </c>
      <c r="M21" t="str">
        <f>HYPERLINK("https://github.com/lawrencekim5/SCAMR_Helper_SampleSourceCode/blob/main/\Modules\_testcapi\codec.c#L138", "\Modules\_testcapi\codec.c#L138")</f>
        <v>\Modules\_testcapi\codec.c#L138</v>
      </c>
      <c r="N21" t="str">
        <f t="shared" si="0"/>
        <v>CWE: 758</v>
      </c>
      <c r="O21" t="s">
        <v>189</v>
      </c>
      <c r="P21" t="s">
        <v>271</v>
      </c>
    </row>
    <row r="22" spans="1:16" hidden="1" x14ac:dyDescent="0.3">
      <c r="A22">
        <v>2</v>
      </c>
      <c r="B22" t="s">
        <v>14</v>
      </c>
      <c r="C22" t="s">
        <v>19</v>
      </c>
      <c r="D22" t="s">
        <v>16</v>
      </c>
      <c r="E22" t="s">
        <v>20</v>
      </c>
      <c r="F22" t="s">
        <v>20</v>
      </c>
      <c r="G22">
        <v>758</v>
      </c>
      <c r="I22" t="s">
        <v>58</v>
      </c>
      <c r="J22">
        <v>51</v>
      </c>
      <c r="K22">
        <v>5</v>
      </c>
      <c r="M22" t="str">
        <f>HYPERLINK("https://github.com/lawrencekim5/SCAMR_Helper_SampleSourceCode/blob/main/\Modules\_testcapi\config.c#L51", "\Modules\_testcapi\config.c#L51")</f>
        <v>\Modules\_testcapi\config.c#L51</v>
      </c>
      <c r="N22" t="str">
        <f t="shared" si="0"/>
        <v>CWE: 758</v>
      </c>
      <c r="O22" t="s">
        <v>190</v>
      </c>
      <c r="P22" t="s">
        <v>270</v>
      </c>
    </row>
    <row r="23" spans="1:16" x14ac:dyDescent="0.3">
      <c r="A23">
        <v>2</v>
      </c>
      <c r="B23" t="s">
        <v>14</v>
      </c>
      <c r="C23" t="s">
        <v>19</v>
      </c>
      <c r="D23" t="s">
        <v>16</v>
      </c>
      <c r="E23" t="s">
        <v>20</v>
      </c>
      <c r="F23" t="s">
        <v>20</v>
      </c>
      <c r="G23">
        <v>758</v>
      </c>
      <c r="I23" t="s">
        <v>59</v>
      </c>
      <c r="J23">
        <v>64</v>
      </c>
      <c r="K23">
        <v>5</v>
      </c>
      <c r="M23" t="str">
        <f>HYPERLINK("https://github.com/lawrencekim5/SCAMR_Helper_SampleSourceCode/blob/main/\Modules\_testcapi\docstring.c#L64", "\Modules\_testcapi\docstring.c#L64")</f>
        <v>\Modules\_testcapi\docstring.c#L64</v>
      </c>
      <c r="N23" t="str">
        <f t="shared" si="0"/>
        <v>CWE: 758</v>
      </c>
      <c r="O23" t="s">
        <v>191</v>
      </c>
      <c r="P23" t="s">
        <v>271</v>
      </c>
    </row>
    <row r="24" spans="1:16" hidden="1" x14ac:dyDescent="0.3">
      <c r="A24">
        <v>2</v>
      </c>
      <c r="B24" t="s">
        <v>14</v>
      </c>
      <c r="C24" t="s">
        <v>19</v>
      </c>
      <c r="D24" t="s">
        <v>16</v>
      </c>
      <c r="E24" t="s">
        <v>20</v>
      </c>
      <c r="F24" t="s">
        <v>20</v>
      </c>
      <c r="G24">
        <v>758</v>
      </c>
      <c r="I24" t="s">
        <v>60</v>
      </c>
      <c r="J24">
        <v>50</v>
      </c>
      <c r="K24">
        <v>9</v>
      </c>
      <c r="M24" t="str">
        <f>HYPERLINK("https://github.com/lawrencekim5/SCAMR_Helper_SampleSourceCode/blob/main/\Modules\_testcapi\function.c#L50", "\Modules\_testcapi\function.c#L50")</f>
        <v>\Modules\_testcapi\function.c#L50</v>
      </c>
      <c r="N24" t="str">
        <f t="shared" si="0"/>
        <v>CWE: 758</v>
      </c>
      <c r="O24" t="s">
        <v>192</v>
      </c>
      <c r="P24" t="s">
        <v>270</v>
      </c>
    </row>
    <row r="25" spans="1:16" x14ac:dyDescent="0.3">
      <c r="A25">
        <v>2</v>
      </c>
      <c r="B25" t="s">
        <v>14</v>
      </c>
      <c r="C25" t="s">
        <v>19</v>
      </c>
      <c r="D25" t="s">
        <v>16</v>
      </c>
      <c r="E25" t="s">
        <v>20</v>
      </c>
      <c r="F25" t="s">
        <v>20</v>
      </c>
      <c r="G25">
        <v>758</v>
      </c>
      <c r="I25" t="s">
        <v>60</v>
      </c>
      <c r="J25">
        <v>121</v>
      </c>
      <c r="K25">
        <v>5</v>
      </c>
      <c r="M25" t="str">
        <f>HYPERLINK("https://github.com/lawrencekim5/SCAMR_Helper_SampleSourceCode/blob/main/\Modules\_testcapi\function.c#L121", "\Modules\_testcapi\function.c#L121")</f>
        <v>\Modules\_testcapi\function.c#L121</v>
      </c>
      <c r="N25" t="str">
        <f t="shared" si="0"/>
        <v>CWE: 758</v>
      </c>
      <c r="O25" t="s">
        <v>193</v>
      </c>
      <c r="P25" t="s">
        <v>271</v>
      </c>
    </row>
    <row r="26" spans="1:16" hidden="1" x14ac:dyDescent="0.3">
      <c r="A26">
        <v>2</v>
      </c>
      <c r="B26" t="s">
        <v>14</v>
      </c>
      <c r="C26" t="s">
        <v>19</v>
      </c>
      <c r="D26" t="s">
        <v>16</v>
      </c>
      <c r="E26" t="s">
        <v>20</v>
      </c>
      <c r="F26" t="s">
        <v>20</v>
      </c>
      <c r="G26">
        <v>758</v>
      </c>
      <c r="I26" t="s">
        <v>61</v>
      </c>
      <c r="J26">
        <v>194</v>
      </c>
      <c r="K26">
        <v>5</v>
      </c>
      <c r="M26" t="str">
        <f>HYPERLINK("https://github.com/lawrencekim5/SCAMR_Helper_SampleSourceCode/blob/main/\Modules\_testcapi\gc.c#L194", "\Modules\_testcapi\gc.c#L194")</f>
        <v>\Modules\_testcapi\gc.c#L194</v>
      </c>
      <c r="N26" t="str">
        <f t="shared" si="0"/>
        <v>CWE: 758</v>
      </c>
      <c r="O26" t="s">
        <v>194</v>
      </c>
      <c r="P26" t="s">
        <v>270</v>
      </c>
    </row>
    <row r="27" spans="1:16" x14ac:dyDescent="0.3">
      <c r="A27">
        <v>2</v>
      </c>
      <c r="B27" t="s">
        <v>14</v>
      </c>
      <c r="C27" t="s">
        <v>19</v>
      </c>
      <c r="D27" t="s">
        <v>16</v>
      </c>
      <c r="E27" t="s">
        <v>20</v>
      </c>
      <c r="F27" t="s">
        <v>20</v>
      </c>
      <c r="G27">
        <v>758</v>
      </c>
      <c r="I27" t="s">
        <v>61</v>
      </c>
      <c r="J27">
        <v>219</v>
      </c>
      <c r="K27">
        <v>5</v>
      </c>
      <c r="M27" t="str">
        <f>HYPERLINK("https://github.com/lawrencekim5/SCAMR_Helper_SampleSourceCode/blob/main/\Modules\_testcapi\gc.c#L219", "\Modules\_testcapi\gc.c#L219")</f>
        <v>\Modules\_testcapi\gc.c#L219</v>
      </c>
      <c r="N27" t="str">
        <f t="shared" si="0"/>
        <v>CWE: 758</v>
      </c>
      <c r="O27" t="s">
        <v>195</v>
      </c>
      <c r="P27" t="s">
        <v>271</v>
      </c>
    </row>
    <row r="28" spans="1:16" hidden="1" x14ac:dyDescent="0.3">
      <c r="A28">
        <v>2</v>
      </c>
      <c r="B28" t="s">
        <v>14</v>
      </c>
      <c r="C28" t="s">
        <v>19</v>
      </c>
      <c r="D28" t="s">
        <v>16</v>
      </c>
      <c r="E28" t="s">
        <v>20</v>
      </c>
      <c r="F28" t="s">
        <v>20</v>
      </c>
      <c r="G28">
        <v>758</v>
      </c>
      <c r="I28" t="s">
        <v>62</v>
      </c>
      <c r="J28">
        <v>593</v>
      </c>
      <c r="K28">
        <v>5</v>
      </c>
      <c r="M28" t="str">
        <f>HYPERLINK("https://github.com/lawrencekim5/SCAMR_Helper_SampleSourceCode/blob/main/\Modules\_testcapi\getargs.c#L593", "\Modules\_testcapi\getargs.c#L593")</f>
        <v>\Modules\_testcapi\getargs.c#L593</v>
      </c>
      <c r="N28" t="str">
        <f t="shared" si="0"/>
        <v>CWE: 758</v>
      </c>
      <c r="O28" t="s">
        <v>196</v>
      </c>
      <c r="P28" t="s">
        <v>270</v>
      </c>
    </row>
    <row r="29" spans="1:16" x14ac:dyDescent="0.3">
      <c r="A29">
        <v>2</v>
      </c>
      <c r="B29" t="s">
        <v>14</v>
      </c>
      <c r="C29" t="s">
        <v>19</v>
      </c>
      <c r="D29" t="s">
        <v>16</v>
      </c>
      <c r="E29" t="s">
        <v>20</v>
      </c>
      <c r="F29" t="s">
        <v>20</v>
      </c>
      <c r="G29">
        <v>758</v>
      </c>
      <c r="I29" t="s">
        <v>62</v>
      </c>
      <c r="J29">
        <v>625</v>
      </c>
      <c r="K29">
        <v>5</v>
      </c>
      <c r="M29" t="str">
        <f>HYPERLINK("https://github.com/lawrencekim5/SCAMR_Helper_SampleSourceCode/blob/main/\Modules\_testcapi\getargs.c#L625", "\Modules\_testcapi\getargs.c#L625")</f>
        <v>\Modules\_testcapi\getargs.c#L625</v>
      </c>
      <c r="N29" t="str">
        <f t="shared" si="0"/>
        <v>CWE: 758</v>
      </c>
      <c r="O29" t="s">
        <v>197</v>
      </c>
      <c r="P29" t="s">
        <v>271</v>
      </c>
    </row>
    <row r="30" spans="1:16" hidden="1" x14ac:dyDescent="0.3">
      <c r="A30">
        <v>2</v>
      </c>
      <c r="B30" t="s">
        <v>14</v>
      </c>
      <c r="C30" t="s">
        <v>19</v>
      </c>
      <c r="D30" t="s">
        <v>16</v>
      </c>
      <c r="E30" t="s">
        <v>20</v>
      </c>
      <c r="F30" t="s">
        <v>20</v>
      </c>
      <c r="G30">
        <v>758</v>
      </c>
      <c r="I30" t="s">
        <v>63</v>
      </c>
      <c r="J30">
        <v>24</v>
      </c>
      <c r="K30">
        <v>5</v>
      </c>
      <c r="M30" t="str">
        <f>HYPERLINK("https://github.com/lawrencekim5/SCAMR_Helper_SampleSourceCode/blob/main/\Modules\_testcapi\modsupport.c#L24", "\Modules\_testcapi\modsupport.c#L24")</f>
        <v>\Modules\_testcapi\modsupport.c#L24</v>
      </c>
      <c r="N30" t="str">
        <f t="shared" si="0"/>
        <v>CWE: 758</v>
      </c>
      <c r="O30" t="s">
        <v>198</v>
      </c>
      <c r="P30" t="s">
        <v>270</v>
      </c>
    </row>
    <row r="31" spans="1:16" x14ac:dyDescent="0.3">
      <c r="A31">
        <v>2</v>
      </c>
      <c r="B31" t="s">
        <v>14</v>
      </c>
      <c r="C31" t="s">
        <v>19</v>
      </c>
      <c r="D31" t="s">
        <v>16</v>
      </c>
      <c r="E31" t="s">
        <v>20</v>
      </c>
      <c r="F31" t="s">
        <v>20</v>
      </c>
      <c r="G31">
        <v>758</v>
      </c>
      <c r="I31" t="s">
        <v>64</v>
      </c>
      <c r="J31">
        <v>322</v>
      </c>
      <c r="K31">
        <v>5</v>
      </c>
      <c r="M31" t="str">
        <f>HYPERLINK("https://github.com/lawrencekim5/SCAMR_Helper_SampleSourceCode/blob/main/\Modules\_testcapi\module.c#L322", "\Modules\_testcapi\module.c#L322")</f>
        <v>\Modules\_testcapi\module.c#L322</v>
      </c>
      <c r="N31" t="str">
        <f t="shared" si="0"/>
        <v>CWE: 758</v>
      </c>
      <c r="O31" t="s">
        <v>199</v>
      </c>
      <c r="P31" t="s">
        <v>271</v>
      </c>
    </row>
    <row r="32" spans="1:16" hidden="1" x14ac:dyDescent="0.3">
      <c r="A32">
        <v>2</v>
      </c>
      <c r="B32" t="s">
        <v>14</v>
      </c>
      <c r="C32" t="s">
        <v>19</v>
      </c>
      <c r="D32" t="s">
        <v>16</v>
      </c>
      <c r="E32" t="s">
        <v>20</v>
      </c>
      <c r="F32" t="s">
        <v>20</v>
      </c>
      <c r="G32">
        <v>758</v>
      </c>
      <c r="I32" t="s">
        <v>65</v>
      </c>
      <c r="J32">
        <v>225</v>
      </c>
      <c r="K32">
        <v>5</v>
      </c>
      <c r="M32" t="str">
        <f>HYPERLINK("https://github.com/lawrencekim5/SCAMR_Helper_SampleSourceCode/blob/main/\Modules\_testcapi\type.c#L225", "\Modules\_testcapi\type.c#L225")</f>
        <v>\Modules\_testcapi\type.c#L225</v>
      </c>
      <c r="N32" t="str">
        <f t="shared" si="0"/>
        <v>CWE: 758</v>
      </c>
      <c r="O32" t="s">
        <v>200</v>
      </c>
      <c r="P32" t="s">
        <v>270</v>
      </c>
    </row>
    <row r="33" spans="1:16" x14ac:dyDescent="0.3">
      <c r="A33">
        <v>2</v>
      </c>
      <c r="B33" t="s">
        <v>14</v>
      </c>
      <c r="C33" t="s">
        <v>19</v>
      </c>
      <c r="D33" t="s">
        <v>16</v>
      </c>
      <c r="E33" t="s">
        <v>20</v>
      </c>
      <c r="F33" t="s">
        <v>20</v>
      </c>
      <c r="G33">
        <v>758</v>
      </c>
      <c r="I33" t="s">
        <v>66</v>
      </c>
      <c r="J33">
        <v>509</v>
      </c>
      <c r="K33">
        <v>5</v>
      </c>
      <c r="M33" t="str">
        <f>HYPERLINK("https://github.com/lawrencekim5/SCAMR_Helper_SampleSourceCode/blob/main/\Modules\_testcapi\unicode.c#L509", "\Modules\_testcapi\unicode.c#L509")</f>
        <v>\Modules\_testcapi\unicode.c#L509</v>
      </c>
      <c r="N33" t="str">
        <f t="shared" si="0"/>
        <v>CWE: 758</v>
      </c>
      <c r="O33" t="s">
        <v>201</v>
      </c>
      <c r="P33" t="s">
        <v>271</v>
      </c>
    </row>
    <row r="34" spans="1:16" hidden="1" x14ac:dyDescent="0.3">
      <c r="A34">
        <v>2</v>
      </c>
      <c r="B34" t="s">
        <v>14</v>
      </c>
      <c r="C34" t="s">
        <v>19</v>
      </c>
      <c r="D34" t="s">
        <v>16</v>
      </c>
      <c r="E34" t="s">
        <v>20</v>
      </c>
      <c r="F34" t="s">
        <v>20</v>
      </c>
      <c r="G34">
        <v>758</v>
      </c>
      <c r="I34" t="s">
        <v>67</v>
      </c>
      <c r="J34">
        <v>191</v>
      </c>
      <c r="K34">
        <v>5</v>
      </c>
      <c r="M34" t="str">
        <f>HYPERLINK("https://github.com/lawrencekim5/SCAMR_Helper_SampleSourceCode/blob/main/\Modules\_testcapi\vectorcall.c#L191", "\Modules\_testcapi\vectorcall.c#L191")</f>
        <v>\Modules\_testcapi\vectorcall.c#L191</v>
      </c>
      <c r="N34" t="str">
        <f t="shared" si="0"/>
        <v>CWE: 758</v>
      </c>
      <c r="O34" t="s">
        <v>202</v>
      </c>
      <c r="P34" t="s">
        <v>270</v>
      </c>
    </row>
    <row r="35" spans="1:16" x14ac:dyDescent="0.3">
      <c r="A35">
        <v>2</v>
      </c>
      <c r="B35" t="s">
        <v>14</v>
      </c>
      <c r="C35" t="s">
        <v>19</v>
      </c>
      <c r="D35" t="s">
        <v>16</v>
      </c>
      <c r="E35" t="s">
        <v>20</v>
      </c>
      <c r="F35" t="s">
        <v>20</v>
      </c>
      <c r="G35">
        <v>758</v>
      </c>
      <c r="I35" t="s">
        <v>68</v>
      </c>
      <c r="J35">
        <v>804</v>
      </c>
      <c r="K35">
        <v>5</v>
      </c>
      <c r="M35" t="str">
        <f>HYPERLINK("https://github.com/lawrencekim5/SCAMR_Helper_SampleSourceCode/blob/main/\Modules\_testcapi\watchers.c#L804", "\Modules\_testcapi\watchers.c#L804")</f>
        <v>\Modules\_testcapi\watchers.c#L804</v>
      </c>
      <c r="N35" t="str">
        <f t="shared" si="0"/>
        <v>CWE: 758</v>
      </c>
      <c r="O35" t="s">
        <v>203</v>
      </c>
      <c r="P35" t="s">
        <v>271</v>
      </c>
    </row>
    <row r="36" spans="1:16" hidden="1" x14ac:dyDescent="0.3">
      <c r="A36">
        <v>2</v>
      </c>
      <c r="B36" t="s">
        <v>14</v>
      </c>
      <c r="C36" t="s">
        <v>69</v>
      </c>
      <c r="D36" t="s">
        <v>16</v>
      </c>
      <c r="E36" t="s">
        <v>70</v>
      </c>
      <c r="F36" t="s">
        <v>71</v>
      </c>
      <c r="G36">
        <v>562</v>
      </c>
      <c r="I36" t="s">
        <v>72</v>
      </c>
      <c r="J36">
        <v>90</v>
      </c>
      <c r="K36">
        <v>5</v>
      </c>
      <c r="M36" t="str">
        <f>HYPERLINK("https://github.com/lawrencekim5/SCAMR_Helper_SampleSourceCode/blob/main/\Modules\_testinternalcapi\interpreter.c#L90", "\Modules\_testinternalcapi\interpreter.c#L90")</f>
        <v>\Modules\_testinternalcapi\interpreter.c#L90</v>
      </c>
      <c r="N36" t="str">
        <f>HYPERLINK("https://cwe.mitre.org/data/definitions/562.html", "CWE: 562")</f>
        <v>CWE: 562</v>
      </c>
      <c r="O36" t="s">
        <v>204</v>
      </c>
      <c r="P36" t="s">
        <v>270</v>
      </c>
    </row>
    <row r="37" spans="1:16" x14ac:dyDescent="0.3">
      <c r="A37">
        <v>2</v>
      </c>
      <c r="B37" t="s">
        <v>14</v>
      </c>
      <c r="C37" t="s">
        <v>73</v>
      </c>
      <c r="D37" t="s">
        <v>30</v>
      </c>
      <c r="E37" t="s">
        <v>74</v>
      </c>
      <c r="F37" t="s">
        <v>74</v>
      </c>
      <c r="G37">
        <v>398</v>
      </c>
      <c r="I37" t="s">
        <v>75</v>
      </c>
      <c r="J37">
        <v>12246</v>
      </c>
      <c r="K37">
        <v>9</v>
      </c>
      <c r="M37" t="str">
        <f>HYPERLINK("https://github.com/lawrencekim5/SCAMR_Helper_SampleSourceCode/blob/main/\Modules\_testinternalcapi\test_cases.c.h#L12246", "\Modules\_testinternalcapi\test_cases.c.h#L12246")</f>
        <v>\Modules\_testinternalcapi\test_cases.c.h#L12246</v>
      </c>
      <c r="N37" t="str">
        <f>HYPERLINK("https://cwe.mitre.org/data/definitions/398.html", "CWE: 398")</f>
        <v>CWE: 398</v>
      </c>
      <c r="O37" t="s">
        <v>205</v>
      </c>
      <c r="P37" t="s">
        <v>271</v>
      </c>
    </row>
    <row r="38" spans="1:16" hidden="1" x14ac:dyDescent="0.3">
      <c r="A38">
        <v>2</v>
      </c>
      <c r="B38" t="s">
        <v>14</v>
      </c>
      <c r="C38" t="s">
        <v>73</v>
      </c>
      <c r="D38" t="s">
        <v>30</v>
      </c>
      <c r="E38" t="s">
        <v>76</v>
      </c>
      <c r="F38" t="s">
        <v>76</v>
      </c>
      <c r="G38">
        <v>398</v>
      </c>
      <c r="I38" t="s">
        <v>75</v>
      </c>
      <c r="J38">
        <v>12296</v>
      </c>
      <c r="K38">
        <v>9</v>
      </c>
      <c r="M38" t="str">
        <f>HYPERLINK("https://github.com/lawrencekim5/SCAMR_Helper_SampleSourceCode/blob/main/\Modules\_testinternalcapi\test_cases.c.h#L12296", "\Modules\_testinternalcapi\test_cases.c.h#L12296")</f>
        <v>\Modules\_testinternalcapi\test_cases.c.h#L12296</v>
      </c>
      <c r="N38" t="str">
        <f>HYPERLINK("https://cwe.mitre.org/data/definitions/398.html", "CWE: 398")</f>
        <v>CWE: 398</v>
      </c>
      <c r="O38" t="s">
        <v>206</v>
      </c>
      <c r="P38" t="s">
        <v>270</v>
      </c>
    </row>
    <row r="39" spans="1:16" x14ac:dyDescent="0.3">
      <c r="A39">
        <v>2</v>
      </c>
      <c r="B39" t="s">
        <v>14</v>
      </c>
      <c r="C39" t="s">
        <v>19</v>
      </c>
      <c r="D39" t="s">
        <v>16</v>
      </c>
      <c r="E39" t="s">
        <v>20</v>
      </c>
      <c r="F39" t="s">
        <v>20</v>
      </c>
      <c r="G39">
        <v>758</v>
      </c>
      <c r="I39" t="s">
        <v>77</v>
      </c>
      <c r="J39">
        <v>172</v>
      </c>
      <c r="M39" t="str">
        <f>HYPERLINK("https://github.com/lawrencekim5/SCAMR_Helper_SampleSourceCode/blob/main/\Modules\_testinternalcapi\testbytecodes.c#L172", "\Modules\_testinternalcapi\testbytecodes.c#L172")</f>
        <v>\Modules\_testinternalcapi\testbytecodes.c#L172</v>
      </c>
      <c r="N39" t="str">
        <f>HYPERLINK("https://cwe.mitre.org/data/definitions/758.html", "CWE: 758")</f>
        <v>CWE: 758</v>
      </c>
      <c r="O39" t="s">
        <v>207</v>
      </c>
      <c r="P39" t="s">
        <v>271</v>
      </c>
    </row>
    <row r="40" spans="1:16" hidden="1" x14ac:dyDescent="0.3">
      <c r="A40">
        <v>2</v>
      </c>
      <c r="B40" t="s">
        <v>14</v>
      </c>
      <c r="C40" t="s">
        <v>19</v>
      </c>
      <c r="D40" t="s">
        <v>16</v>
      </c>
      <c r="E40" t="s">
        <v>20</v>
      </c>
      <c r="F40" t="s">
        <v>20</v>
      </c>
      <c r="G40">
        <v>758</v>
      </c>
      <c r="I40" t="s">
        <v>78</v>
      </c>
      <c r="J40">
        <v>128</v>
      </c>
      <c r="K40">
        <v>9</v>
      </c>
      <c r="M40" t="str">
        <f>HYPERLINK("https://github.com/lawrencekim5/SCAMR_Helper_SampleSourceCode/blob/main/\Modules\_testlimitedcapi\bytes.c#L128", "\Modules\_testlimitedcapi\bytes.c#L128")</f>
        <v>\Modules\_testlimitedcapi\bytes.c#L128</v>
      </c>
      <c r="N40" t="str">
        <f>HYPERLINK("https://cwe.mitre.org/data/definitions/758.html", "CWE: 758")</f>
        <v>CWE: 758</v>
      </c>
      <c r="O40" t="s">
        <v>208</v>
      </c>
      <c r="P40" t="s">
        <v>270</v>
      </c>
    </row>
    <row r="41" spans="1:16" x14ac:dyDescent="0.3">
      <c r="A41">
        <v>2</v>
      </c>
      <c r="B41" t="s">
        <v>14</v>
      </c>
      <c r="C41" t="s">
        <v>79</v>
      </c>
      <c r="D41" t="s">
        <v>16</v>
      </c>
      <c r="E41" t="s">
        <v>80</v>
      </c>
      <c r="F41" t="s">
        <v>80</v>
      </c>
      <c r="G41">
        <v>786</v>
      </c>
      <c r="I41" t="s">
        <v>81</v>
      </c>
      <c r="J41">
        <v>19</v>
      </c>
      <c r="K41">
        <v>38</v>
      </c>
      <c r="L41" t="s">
        <v>82</v>
      </c>
      <c r="M41" t="str">
        <f>HYPERLINK("https://github.com/lawrencekim5/SCAMR_Helper_SampleSourceCode/blob/main/\Modules\_testlimitedcapi\codec.c#L19", "\Modules\_testlimitedcapi\codec.c#L19")</f>
        <v>\Modules\_testlimitedcapi\codec.c#L19</v>
      </c>
      <c r="N41" t="str">
        <f>HYPERLINK("https://cwe.mitre.org/data/definitions/786.html", "CWE: 786")</f>
        <v>CWE: 786</v>
      </c>
      <c r="O41" t="s">
        <v>209</v>
      </c>
      <c r="P41" t="s">
        <v>271</v>
      </c>
    </row>
    <row r="42" spans="1:16" hidden="1" x14ac:dyDescent="0.3">
      <c r="A42">
        <v>2</v>
      </c>
      <c r="B42" t="s">
        <v>14</v>
      </c>
      <c r="C42" t="s">
        <v>19</v>
      </c>
      <c r="D42" t="s">
        <v>16</v>
      </c>
      <c r="E42" t="s">
        <v>20</v>
      </c>
      <c r="F42" t="s">
        <v>20</v>
      </c>
      <c r="G42">
        <v>758</v>
      </c>
      <c r="I42" t="s">
        <v>83</v>
      </c>
      <c r="J42">
        <v>214</v>
      </c>
      <c r="K42">
        <v>5</v>
      </c>
      <c r="M42" t="str">
        <f>HYPERLINK("https://github.com/lawrencekim5/SCAMR_Helper_SampleSourceCode/blob/main/\Modules\_testlimitedcapi\dict.c#L214", "\Modules\_testlimitedcapi\dict.c#L214")</f>
        <v>\Modules\_testlimitedcapi\dict.c#L214</v>
      </c>
      <c r="N42" t="str">
        <f t="shared" ref="N42:N47" si="1">HYPERLINK("https://cwe.mitre.org/data/definitions/758.html", "CWE: 758")</f>
        <v>CWE: 758</v>
      </c>
      <c r="O42" t="s">
        <v>210</v>
      </c>
      <c r="P42" t="s">
        <v>270</v>
      </c>
    </row>
    <row r="43" spans="1:16" x14ac:dyDescent="0.3">
      <c r="A43">
        <v>2</v>
      </c>
      <c r="B43" t="s">
        <v>14</v>
      </c>
      <c r="C43" t="s">
        <v>19</v>
      </c>
      <c r="D43" t="s">
        <v>16</v>
      </c>
      <c r="E43" t="s">
        <v>20</v>
      </c>
      <c r="F43" t="s">
        <v>20</v>
      </c>
      <c r="G43">
        <v>758</v>
      </c>
      <c r="I43" t="s">
        <v>84</v>
      </c>
      <c r="J43">
        <v>89</v>
      </c>
      <c r="K43">
        <v>5</v>
      </c>
      <c r="M43" t="str">
        <f>HYPERLINK("https://github.com/lawrencekim5/SCAMR_Helper_SampleSourceCode/blob/main/\Modules\_testlimitedcapi\heaptype_relative.c#L89", "\Modules\_testlimitedcapi\heaptype_relative.c#L89")</f>
        <v>\Modules\_testlimitedcapi\heaptype_relative.c#L89</v>
      </c>
      <c r="N43" t="str">
        <f t="shared" si="1"/>
        <v>CWE: 758</v>
      </c>
      <c r="O43" t="s">
        <v>211</v>
      </c>
      <c r="P43" t="s">
        <v>271</v>
      </c>
    </row>
    <row r="44" spans="1:16" hidden="1" x14ac:dyDescent="0.3">
      <c r="A44">
        <v>2</v>
      </c>
      <c r="B44" t="s">
        <v>14</v>
      </c>
      <c r="C44" t="s">
        <v>19</v>
      </c>
      <c r="D44" t="s">
        <v>16</v>
      </c>
      <c r="E44" t="s">
        <v>20</v>
      </c>
      <c r="F44" t="s">
        <v>20</v>
      </c>
      <c r="G44">
        <v>758</v>
      </c>
      <c r="I44" t="s">
        <v>84</v>
      </c>
      <c r="J44">
        <v>223</v>
      </c>
      <c r="K44">
        <v>5</v>
      </c>
      <c r="M44" t="str">
        <f>HYPERLINK("https://github.com/lawrencekim5/SCAMR_Helper_SampleSourceCode/blob/main/\Modules\_testlimitedcapi\heaptype_relative.c#L223", "\Modules\_testlimitedcapi\heaptype_relative.c#L223")</f>
        <v>\Modules\_testlimitedcapi\heaptype_relative.c#L223</v>
      </c>
      <c r="N44" t="str">
        <f t="shared" si="1"/>
        <v>CWE: 758</v>
      </c>
      <c r="O44" t="s">
        <v>212</v>
      </c>
      <c r="P44" t="s">
        <v>270</v>
      </c>
    </row>
    <row r="45" spans="1:16" x14ac:dyDescent="0.3">
      <c r="A45">
        <v>2</v>
      </c>
      <c r="B45" t="s">
        <v>14</v>
      </c>
      <c r="C45" t="s">
        <v>19</v>
      </c>
      <c r="D45" t="s">
        <v>16</v>
      </c>
      <c r="E45" t="s">
        <v>20</v>
      </c>
      <c r="F45" t="s">
        <v>20</v>
      </c>
      <c r="G45">
        <v>758</v>
      </c>
      <c r="I45" t="s">
        <v>84</v>
      </c>
      <c r="J45">
        <v>248</v>
      </c>
      <c r="K45">
        <v>5</v>
      </c>
      <c r="M45" t="str">
        <f>HYPERLINK("https://github.com/lawrencekim5/SCAMR_Helper_SampleSourceCode/blob/main/\Modules\_testlimitedcapi\heaptype_relative.c#L248", "\Modules\_testlimitedcapi\heaptype_relative.c#L248")</f>
        <v>\Modules\_testlimitedcapi\heaptype_relative.c#L248</v>
      </c>
      <c r="N45" t="str">
        <f t="shared" si="1"/>
        <v>CWE: 758</v>
      </c>
      <c r="O45" t="s">
        <v>213</v>
      </c>
      <c r="P45" t="s">
        <v>271</v>
      </c>
    </row>
    <row r="46" spans="1:16" hidden="1" x14ac:dyDescent="0.3">
      <c r="A46">
        <v>2</v>
      </c>
      <c r="B46" t="s">
        <v>14</v>
      </c>
      <c r="C46" t="s">
        <v>19</v>
      </c>
      <c r="D46" t="s">
        <v>16</v>
      </c>
      <c r="E46" t="s">
        <v>20</v>
      </c>
      <c r="F46" t="s">
        <v>20</v>
      </c>
      <c r="G46">
        <v>758</v>
      </c>
      <c r="I46" t="s">
        <v>85</v>
      </c>
      <c r="J46">
        <v>277</v>
      </c>
      <c r="K46">
        <v>40</v>
      </c>
      <c r="M46" t="str">
        <f>HYPERLINK("https://github.com/lawrencekim5/SCAMR_Helper_SampleSourceCode/blob/main/\Modules\_testlimitedcapi\long.c#L277", "\Modules\_testlimitedcapi\long.c#L277")</f>
        <v>\Modules\_testlimitedcapi\long.c#L277</v>
      </c>
      <c r="N46" t="str">
        <f t="shared" si="1"/>
        <v>CWE: 758</v>
      </c>
      <c r="O46" t="s">
        <v>214</v>
      </c>
      <c r="P46" t="s">
        <v>270</v>
      </c>
    </row>
    <row r="47" spans="1:16" x14ac:dyDescent="0.3">
      <c r="A47">
        <v>2</v>
      </c>
      <c r="B47" t="s">
        <v>14</v>
      </c>
      <c r="C47" t="s">
        <v>19</v>
      </c>
      <c r="D47" t="s">
        <v>16</v>
      </c>
      <c r="E47" t="s">
        <v>20</v>
      </c>
      <c r="F47" t="s">
        <v>20</v>
      </c>
      <c r="G47">
        <v>758</v>
      </c>
      <c r="I47" t="s">
        <v>85</v>
      </c>
      <c r="J47">
        <v>444</v>
      </c>
      <c r="K47">
        <v>40</v>
      </c>
      <c r="M47" t="str">
        <f>HYPERLINK("https://github.com/lawrencekim5/SCAMR_Helper_SampleSourceCode/blob/main/\Modules\_testlimitedcapi\long.c#L444", "\Modules\_testlimitedcapi\long.c#L444")</f>
        <v>\Modules\_testlimitedcapi\long.c#L444</v>
      </c>
      <c r="N47" t="str">
        <f t="shared" si="1"/>
        <v>CWE: 758</v>
      </c>
      <c r="O47" t="s">
        <v>215</v>
      </c>
      <c r="P47" t="s">
        <v>271</v>
      </c>
    </row>
    <row r="48" spans="1:16" hidden="1" x14ac:dyDescent="0.3">
      <c r="A48">
        <v>2</v>
      </c>
      <c r="B48" t="s">
        <v>14</v>
      </c>
      <c r="C48" t="s">
        <v>22</v>
      </c>
      <c r="D48" t="s">
        <v>30</v>
      </c>
      <c r="E48" t="s">
        <v>86</v>
      </c>
      <c r="F48" t="s">
        <v>86</v>
      </c>
      <c r="G48">
        <v>457</v>
      </c>
      <c r="I48" t="s">
        <v>87</v>
      </c>
      <c r="J48">
        <v>34</v>
      </c>
      <c r="K48">
        <v>43</v>
      </c>
      <c r="M48" t="str">
        <f>HYPERLINK("https://github.com/lawrencekim5/SCAMR_Helper_SampleSourceCode/blob/main/\Modules\_testlimitedcapi\set.c#L34", "\Modules\_testlimitedcapi\set.c#L34")</f>
        <v>\Modules\_testlimitedcapi\set.c#L34</v>
      </c>
      <c r="N48" t="str">
        <f>HYPERLINK("https://cwe.mitre.org/data/definitions/457.html", "CWE: 457")</f>
        <v>CWE: 457</v>
      </c>
      <c r="O48" t="s">
        <v>216</v>
      </c>
      <c r="P48" t="s">
        <v>270</v>
      </c>
    </row>
    <row r="49" spans="1:16" x14ac:dyDescent="0.3">
      <c r="A49">
        <v>2</v>
      </c>
      <c r="B49" t="s">
        <v>14</v>
      </c>
      <c r="C49" t="s">
        <v>22</v>
      </c>
      <c r="D49" t="s">
        <v>30</v>
      </c>
      <c r="E49" t="s">
        <v>86</v>
      </c>
      <c r="F49" t="s">
        <v>86</v>
      </c>
      <c r="G49">
        <v>457</v>
      </c>
      <c r="I49" t="s">
        <v>87</v>
      </c>
      <c r="J49">
        <v>24</v>
      </c>
      <c r="K49">
        <v>17</v>
      </c>
      <c r="L49" t="s">
        <v>45</v>
      </c>
      <c r="M49" t="str">
        <f>HYPERLINK("https://github.com/lawrencekim5/SCAMR_Helper_SampleSourceCode/blob/main/\Modules\_testlimitedcapi\set.c#L24", "\Modules\_testlimitedcapi\set.c#L24")</f>
        <v>\Modules\_testlimitedcapi\set.c#L24</v>
      </c>
      <c r="N49" t="str">
        <f>HYPERLINK("https://cwe.mitre.org/data/definitions/457.html", "CWE: 457")</f>
        <v>CWE: 457</v>
      </c>
      <c r="O49" t="s">
        <v>217</v>
      </c>
      <c r="P49" t="s">
        <v>271</v>
      </c>
    </row>
    <row r="50" spans="1:16" hidden="1" x14ac:dyDescent="0.3">
      <c r="A50">
        <v>2</v>
      </c>
      <c r="B50" t="s">
        <v>14</v>
      </c>
      <c r="C50" t="s">
        <v>19</v>
      </c>
      <c r="D50" t="s">
        <v>16</v>
      </c>
      <c r="E50" t="s">
        <v>20</v>
      </c>
      <c r="F50" t="s">
        <v>20</v>
      </c>
      <c r="G50">
        <v>758</v>
      </c>
      <c r="I50" t="s">
        <v>88</v>
      </c>
      <c r="J50">
        <v>47</v>
      </c>
      <c r="K50">
        <v>5</v>
      </c>
      <c r="M50" t="str">
        <f>HYPERLINK("https://github.com/lawrencekim5/SCAMR_Helper_SampleSourceCode/blob/main/\Modules\_testlimitedcapi\unicode.c#L47", "\Modules\_testlimitedcapi\unicode.c#L47")</f>
        <v>\Modules\_testlimitedcapi\unicode.c#L47</v>
      </c>
      <c r="N50" t="str">
        <f>HYPERLINK("https://cwe.mitre.org/data/definitions/758.html", "CWE: 758")</f>
        <v>CWE: 758</v>
      </c>
      <c r="O50" t="s">
        <v>218</v>
      </c>
      <c r="P50" t="s">
        <v>270</v>
      </c>
    </row>
    <row r="51" spans="1:16" x14ac:dyDescent="0.3">
      <c r="A51">
        <v>2</v>
      </c>
      <c r="B51" t="s">
        <v>14</v>
      </c>
      <c r="C51" t="s">
        <v>89</v>
      </c>
      <c r="D51" t="s">
        <v>30</v>
      </c>
      <c r="E51" t="s">
        <v>90</v>
      </c>
      <c r="F51" t="s">
        <v>90</v>
      </c>
      <c r="G51">
        <v>476</v>
      </c>
      <c r="I51" t="s">
        <v>91</v>
      </c>
      <c r="J51">
        <v>265</v>
      </c>
      <c r="K51">
        <v>31</v>
      </c>
      <c r="L51" t="s">
        <v>92</v>
      </c>
      <c r="M51" t="str">
        <f>HYPERLINK("https://github.com/lawrencekim5/SCAMR_Helper_SampleSourceCode/blob/main/\Modules\_zstd\_zstdmodule.c#L265", "\Modules\_zstd\_zstdmodule.c#L265")</f>
        <v>\Modules\_zstd\_zstdmodule.c#L265</v>
      </c>
      <c r="N51" t="str">
        <f>HYPERLINK("https://cwe.mitre.org/data/definitions/476.html", "CWE: 476")</f>
        <v>CWE: 476</v>
      </c>
      <c r="O51" t="s">
        <v>219</v>
      </c>
      <c r="P51" t="s">
        <v>271</v>
      </c>
    </row>
    <row r="52" spans="1:16" hidden="1" x14ac:dyDescent="0.3">
      <c r="A52">
        <v>2</v>
      </c>
      <c r="B52" t="s">
        <v>14</v>
      </c>
      <c r="C52" t="s">
        <v>93</v>
      </c>
      <c r="D52" t="s">
        <v>30</v>
      </c>
      <c r="E52" t="s">
        <v>94</v>
      </c>
      <c r="F52" t="s">
        <v>94</v>
      </c>
      <c r="G52">
        <v>628</v>
      </c>
      <c r="I52" t="s">
        <v>95</v>
      </c>
      <c r="J52">
        <v>377</v>
      </c>
      <c r="K52">
        <v>56</v>
      </c>
      <c r="L52" t="s">
        <v>96</v>
      </c>
      <c r="M52" t="str">
        <f>HYPERLINK("https://github.com/lawrencekim5/SCAMR_Helper_SampleSourceCode/blob/main/\Modules\cjkcodecs\multibytecodec.c#L377", "\Modules\cjkcodecs\multibytecodec.c#L377")</f>
        <v>\Modules\cjkcodecs\multibytecodec.c#L377</v>
      </c>
      <c r="N52" t="str">
        <f>HYPERLINK("https://cwe.mitre.org/data/definitions/628.html", "CWE: 628")</f>
        <v>CWE: 628</v>
      </c>
      <c r="O52" t="s">
        <v>220</v>
      </c>
      <c r="P52" t="s">
        <v>270</v>
      </c>
    </row>
    <row r="53" spans="1:16" x14ac:dyDescent="0.3">
      <c r="A53">
        <v>2</v>
      </c>
      <c r="B53" t="s">
        <v>14</v>
      </c>
      <c r="C53" t="s">
        <v>93</v>
      </c>
      <c r="D53" t="s">
        <v>30</v>
      </c>
      <c r="E53" t="s">
        <v>94</v>
      </c>
      <c r="F53" t="s">
        <v>94</v>
      </c>
      <c r="G53">
        <v>628</v>
      </c>
      <c r="I53" t="s">
        <v>95</v>
      </c>
      <c r="J53">
        <v>376</v>
      </c>
      <c r="K53">
        <v>9</v>
      </c>
      <c r="L53" t="s">
        <v>97</v>
      </c>
      <c r="M53" t="str">
        <f>HYPERLINK("https://github.com/lawrencekim5/SCAMR_Helper_SampleSourceCode/blob/main/\Modules\cjkcodecs\multibytecodec.c#L376", "\Modules\cjkcodecs\multibytecodec.c#L376")</f>
        <v>\Modules\cjkcodecs\multibytecodec.c#L376</v>
      </c>
      <c r="N53" t="str">
        <f>HYPERLINK("https://cwe.mitre.org/data/definitions/628.html", "CWE: 628")</f>
        <v>CWE: 628</v>
      </c>
      <c r="O53" t="s">
        <v>221</v>
      </c>
      <c r="P53" t="s">
        <v>271</v>
      </c>
    </row>
    <row r="54" spans="1:16" hidden="1" x14ac:dyDescent="0.3">
      <c r="A54">
        <v>2</v>
      </c>
      <c r="B54" t="s">
        <v>14</v>
      </c>
      <c r="C54" t="s">
        <v>98</v>
      </c>
      <c r="D54" t="s">
        <v>16</v>
      </c>
      <c r="E54" t="s">
        <v>99</v>
      </c>
      <c r="F54" t="s">
        <v>99</v>
      </c>
      <c r="G54">
        <v>401</v>
      </c>
      <c r="I54" t="s">
        <v>100</v>
      </c>
      <c r="J54">
        <v>1399</v>
      </c>
      <c r="K54">
        <v>3</v>
      </c>
      <c r="M54" t="str">
        <f>HYPERLINK("https://github.com/lawrencekim5/SCAMR_Helper_SampleSourceCode/blob/main/\Modules\expat\xmlparse.c#L1399", "\Modules\expat\xmlparse.c#L1399")</f>
        <v>\Modules\expat\xmlparse.c#L1399</v>
      </c>
      <c r="N54" t="str">
        <f>HYPERLINK("https://cwe.mitre.org/data/definitions/401.html", "CWE: 401")</f>
        <v>CWE: 401</v>
      </c>
      <c r="O54" t="s">
        <v>222</v>
      </c>
      <c r="P54" t="s">
        <v>270</v>
      </c>
    </row>
    <row r="55" spans="1:16" x14ac:dyDescent="0.3">
      <c r="A55">
        <v>2</v>
      </c>
      <c r="B55" t="s">
        <v>14</v>
      </c>
      <c r="C55" t="s">
        <v>19</v>
      </c>
      <c r="D55" t="s">
        <v>16</v>
      </c>
      <c r="E55" t="s">
        <v>20</v>
      </c>
      <c r="F55" t="s">
        <v>20</v>
      </c>
      <c r="G55">
        <v>758</v>
      </c>
      <c r="I55" t="s">
        <v>101</v>
      </c>
      <c r="J55">
        <v>856</v>
      </c>
      <c r="K55">
        <v>5</v>
      </c>
      <c r="M55" t="str">
        <f>HYPERLINK("https://github.com/lawrencekim5/SCAMR_Helper_SampleSourceCode/blob/main/\Objects\genericaliasobject.c#L856", "\Objects\genericaliasobject.c#L856")</f>
        <v>\Objects\genericaliasobject.c#L856</v>
      </c>
      <c r="N55" t="str">
        <f>HYPERLINK("https://cwe.mitre.org/data/definitions/758.html", "CWE: 758")</f>
        <v>CWE: 758</v>
      </c>
      <c r="O55" t="s">
        <v>223</v>
      </c>
      <c r="P55" t="s">
        <v>271</v>
      </c>
    </row>
    <row r="56" spans="1:16" hidden="1" x14ac:dyDescent="0.3">
      <c r="A56">
        <v>2</v>
      </c>
      <c r="B56" t="s">
        <v>14</v>
      </c>
      <c r="C56" t="s">
        <v>19</v>
      </c>
      <c r="D56" t="s">
        <v>16</v>
      </c>
      <c r="E56" t="s">
        <v>20</v>
      </c>
      <c r="F56" t="s">
        <v>20</v>
      </c>
      <c r="G56">
        <v>758</v>
      </c>
      <c r="I56" t="s">
        <v>102</v>
      </c>
      <c r="J56">
        <v>138</v>
      </c>
      <c r="K56">
        <v>5</v>
      </c>
      <c r="M56" t="str">
        <f>HYPERLINK("https://github.com/lawrencekim5/SCAMR_Helper_SampleSourceCode/blob/main/\Objects\iterobject.c#L138", "\Objects\iterobject.c#L138")</f>
        <v>\Objects\iterobject.c#L138</v>
      </c>
      <c r="N56" t="str">
        <f>HYPERLINK("https://cwe.mitre.org/data/definitions/758.html", "CWE: 758")</f>
        <v>CWE: 758</v>
      </c>
      <c r="O56" t="s">
        <v>224</v>
      </c>
      <c r="P56" t="s">
        <v>270</v>
      </c>
    </row>
    <row r="57" spans="1:16" x14ac:dyDescent="0.3">
      <c r="A57">
        <v>2</v>
      </c>
      <c r="B57" t="s">
        <v>14</v>
      </c>
      <c r="C57" t="s">
        <v>15</v>
      </c>
      <c r="D57" t="s">
        <v>16</v>
      </c>
      <c r="E57" t="s">
        <v>103</v>
      </c>
      <c r="F57" t="s">
        <v>103</v>
      </c>
      <c r="G57">
        <v>457</v>
      </c>
      <c r="I57" t="s">
        <v>102</v>
      </c>
      <c r="J57">
        <v>100</v>
      </c>
      <c r="K57">
        <v>15</v>
      </c>
      <c r="M57" t="str">
        <f>HYPERLINK("https://github.com/lawrencekim5/SCAMR_Helper_SampleSourceCode/blob/main/\Objects\iterobject.c#L100", "\Objects\iterobject.c#L100")</f>
        <v>\Objects\iterobject.c#L100</v>
      </c>
      <c r="N57" t="str">
        <f>HYPERLINK("https://cwe.mitre.org/data/definitions/457.html", "CWE: 457")</f>
        <v>CWE: 457</v>
      </c>
      <c r="O57" t="s">
        <v>225</v>
      </c>
      <c r="P57" t="s">
        <v>271</v>
      </c>
    </row>
    <row r="58" spans="1:16" hidden="1" x14ac:dyDescent="0.3">
      <c r="A58">
        <v>2</v>
      </c>
      <c r="B58" t="s">
        <v>14</v>
      </c>
      <c r="C58" t="s">
        <v>19</v>
      </c>
      <c r="D58" t="s">
        <v>16</v>
      </c>
      <c r="E58" t="s">
        <v>20</v>
      </c>
      <c r="F58" t="s">
        <v>20</v>
      </c>
      <c r="G58">
        <v>758</v>
      </c>
      <c r="I58" t="s">
        <v>104</v>
      </c>
      <c r="J58">
        <v>214</v>
      </c>
      <c r="K58">
        <v>5</v>
      </c>
      <c r="M58" t="str">
        <f>HYPERLINK("https://github.com/lawrencekim5/SCAMR_Helper_SampleSourceCode/blob/main/\Objects\namespaceobject.c#L214", "\Objects\namespaceobject.c#L214")</f>
        <v>\Objects\namespaceobject.c#L214</v>
      </c>
      <c r="N58" t="str">
        <f>HYPERLINK("https://cwe.mitre.org/data/definitions/758.html", "CWE: 758")</f>
        <v>CWE: 758</v>
      </c>
      <c r="O58" t="s">
        <v>226</v>
      </c>
      <c r="P58" t="s">
        <v>270</v>
      </c>
    </row>
    <row r="59" spans="1:16" x14ac:dyDescent="0.3">
      <c r="A59">
        <v>2</v>
      </c>
      <c r="B59" t="s">
        <v>14</v>
      </c>
      <c r="C59" t="s">
        <v>105</v>
      </c>
      <c r="D59" t="s">
        <v>30</v>
      </c>
      <c r="E59" t="s">
        <v>106</v>
      </c>
      <c r="F59" t="s">
        <v>107</v>
      </c>
      <c r="G59">
        <v>477</v>
      </c>
      <c r="I59" t="s">
        <v>104</v>
      </c>
      <c r="J59">
        <v>50</v>
      </c>
      <c r="K59">
        <v>5</v>
      </c>
      <c r="M59" t="str">
        <f>HYPERLINK("https://github.com/lawrencekim5/SCAMR_Helper_SampleSourceCode/blob/main/\Objects\namespaceobject.c#L50", "\Objects\namespaceobject.c#L50")</f>
        <v>\Objects\namespaceobject.c#L50</v>
      </c>
      <c r="N59" t="str">
        <f>HYPERLINK("https://cwe.mitre.org/data/definitions/477.html", "CWE: 477")</f>
        <v>CWE: 477</v>
      </c>
      <c r="O59" t="s">
        <v>227</v>
      </c>
      <c r="P59" t="s">
        <v>271</v>
      </c>
    </row>
    <row r="60" spans="1:16" hidden="1" x14ac:dyDescent="0.3">
      <c r="A60">
        <v>2</v>
      </c>
      <c r="B60" t="s">
        <v>14</v>
      </c>
      <c r="C60" t="s">
        <v>19</v>
      </c>
      <c r="D60" t="s">
        <v>16</v>
      </c>
      <c r="E60" t="s">
        <v>20</v>
      </c>
      <c r="F60" t="s">
        <v>20</v>
      </c>
      <c r="G60">
        <v>758</v>
      </c>
      <c r="I60" t="s">
        <v>108</v>
      </c>
      <c r="J60">
        <v>1355</v>
      </c>
      <c r="K60">
        <v>5</v>
      </c>
      <c r="M60" t="str">
        <f>HYPERLINK("https://github.com/lawrencekim5/SCAMR_Helper_SampleSourceCode/blob/main/\Objects\odictobject.c#L1355", "\Objects\odictobject.c#L1355")</f>
        <v>\Objects\odictobject.c#L1355</v>
      </c>
      <c r="N60" t="str">
        <f>HYPERLINK("https://cwe.mitre.org/data/definitions/758.html", "CWE: 758")</f>
        <v>CWE: 758</v>
      </c>
      <c r="O60" t="s">
        <v>228</v>
      </c>
      <c r="P60" t="s">
        <v>270</v>
      </c>
    </row>
    <row r="61" spans="1:16" x14ac:dyDescent="0.3">
      <c r="A61">
        <v>2</v>
      </c>
      <c r="B61" t="s">
        <v>14</v>
      </c>
      <c r="C61" t="s">
        <v>19</v>
      </c>
      <c r="D61" t="s">
        <v>16</v>
      </c>
      <c r="E61" t="s">
        <v>20</v>
      </c>
      <c r="F61" t="s">
        <v>20</v>
      </c>
      <c r="G61">
        <v>758</v>
      </c>
      <c r="I61" t="s">
        <v>108</v>
      </c>
      <c r="J61">
        <v>1517</v>
      </c>
      <c r="K61">
        <v>9</v>
      </c>
      <c r="M61" t="str">
        <f>HYPERLINK("https://github.com/lawrencekim5/SCAMR_Helper_SampleSourceCode/blob/main/\Objects\odictobject.c#L1517", "\Objects\odictobject.c#L1517")</f>
        <v>\Objects\odictobject.c#L1517</v>
      </c>
      <c r="N61" t="str">
        <f>HYPERLINK("https://cwe.mitre.org/data/definitions/758.html", "CWE: 758")</f>
        <v>CWE: 758</v>
      </c>
      <c r="O61" t="s">
        <v>229</v>
      </c>
      <c r="P61" t="s">
        <v>271</v>
      </c>
    </row>
    <row r="62" spans="1:16" hidden="1" x14ac:dyDescent="0.3">
      <c r="A62">
        <v>2</v>
      </c>
      <c r="B62" t="s">
        <v>14</v>
      </c>
      <c r="C62" t="s">
        <v>19</v>
      </c>
      <c r="D62" t="s">
        <v>16</v>
      </c>
      <c r="E62" t="s">
        <v>20</v>
      </c>
      <c r="F62" t="s">
        <v>20</v>
      </c>
      <c r="G62">
        <v>758</v>
      </c>
      <c r="I62" t="s">
        <v>108</v>
      </c>
      <c r="J62">
        <v>2367</v>
      </c>
      <c r="K62">
        <v>5</v>
      </c>
      <c r="M62" t="str">
        <f>HYPERLINK("https://github.com/lawrencekim5/SCAMR_Helper_SampleSourceCode/blob/main/\Objects\odictobject.c#L2367", "\Objects\odictobject.c#L2367")</f>
        <v>\Objects\odictobject.c#L2367</v>
      </c>
      <c r="N62" t="str">
        <f>HYPERLINK("https://cwe.mitre.org/data/definitions/758.html", "CWE: 758")</f>
        <v>CWE: 758</v>
      </c>
      <c r="O62" t="s">
        <v>230</v>
      </c>
      <c r="P62" t="s">
        <v>270</v>
      </c>
    </row>
    <row r="63" spans="1:16" x14ac:dyDescent="0.3">
      <c r="A63">
        <v>2</v>
      </c>
      <c r="B63" t="s">
        <v>14</v>
      </c>
      <c r="C63" t="s">
        <v>19</v>
      </c>
      <c r="D63" t="s">
        <v>16</v>
      </c>
      <c r="E63" t="s">
        <v>20</v>
      </c>
      <c r="F63" t="s">
        <v>20</v>
      </c>
      <c r="G63">
        <v>758</v>
      </c>
      <c r="I63" t="s">
        <v>109</v>
      </c>
      <c r="J63">
        <v>936</v>
      </c>
      <c r="K63">
        <v>23</v>
      </c>
      <c r="M63" t="str">
        <f>HYPERLINK("https://github.com/lawrencekim5/SCAMR_Helper_SampleSourceCode/blob/main/\Objects\rangeobject.c#L936", "\Objects\rangeobject.c#L936")</f>
        <v>\Objects\rangeobject.c#L936</v>
      </c>
      <c r="N63" t="str">
        <f>HYPERLINK("https://cwe.mitre.org/data/definitions/758.html", "CWE: 758")</f>
        <v>CWE: 758</v>
      </c>
      <c r="O63" t="s">
        <v>231</v>
      </c>
      <c r="P63" t="s">
        <v>271</v>
      </c>
    </row>
    <row r="64" spans="1:16" hidden="1" x14ac:dyDescent="0.3">
      <c r="A64">
        <v>2</v>
      </c>
      <c r="B64" t="s">
        <v>14</v>
      </c>
      <c r="C64" t="s">
        <v>98</v>
      </c>
      <c r="D64" t="s">
        <v>16</v>
      </c>
      <c r="E64" t="s">
        <v>110</v>
      </c>
      <c r="F64" t="s">
        <v>110</v>
      </c>
      <c r="G64">
        <v>401</v>
      </c>
      <c r="I64" t="s">
        <v>111</v>
      </c>
      <c r="J64">
        <v>64</v>
      </c>
      <c r="K64">
        <v>5</v>
      </c>
      <c r="M64" t="str">
        <f>HYPERLINK("https://github.com/lawrencekim5/SCAMR_Helper_SampleSourceCode/blob/main/\Objects\structseq.c#L64", "\Objects\structseq.c#L64")</f>
        <v>\Objects\structseq.c#L64</v>
      </c>
      <c r="N64" t="str">
        <f>HYPERLINK("https://cwe.mitre.org/data/definitions/401.html", "CWE: 401")</f>
        <v>CWE: 401</v>
      </c>
      <c r="O64" t="s">
        <v>232</v>
      </c>
      <c r="P64" t="s">
        <v>270</v>
      </c>
    </row>
    <row r="65" spans="1:16" x14ac:dyDescent="0.3">
      <c r="A65">
        <v>2</v>
      </c>
      <c r="B65" t="s">
        <v>14</v>
      </c>
      <c r="C65" t="s">
        <v>19</v>
      </c>
      <c r="D65" t="s">
        <v>16</v>
      </c>
      <c r="E65" t="s">
        <v>20</v>
      </c>
      <c r="F65" t="s">
        <v>20</v>
      </c>
      <c r="G65">
        <v>758</v>
      </c>
      <c r="I65" t="s">
        <v>112</v>
      </c>
      <c r="J65">
        <v>1733</v>
      </c>
      <c r="K65">
        <v>5</v>
      </c>
      <c r="M65" t="str">
        <f>HYPERLINK("https://github.com/lawrencekim5/SCAMR_Helper_SampleSourceCode/blob/main/\Objects\typevarobject.c#L1733", "\Objects\typevarobject.c#L1733")</f>
        <v>\Objects\typevarobject.c#L1733</v>
      </c>
      <c r="N65" t="str">
        <f>HYPERLINK("https://cwe.mitre.org/data/definitions/758.html", "CWE: 758")</f>
        <v>CWE: 758</v>
      </c>
      <c r="O65" t="s">
        <v>233</v>
      </c>
      <c r="P65" t="s">
        <v>271</v>
      </c>
    </row>
    <row r="66" spans="1:16" hidden="1" x14ac:dyDescent="0.3">
      <c r="A66">
        <v>2</v>
      </c>
      <c r="B66" t="s">
        <v>14</v>
      </c>
      <c r="C66" t="s">
        <v>19</v>
      </c>
      <c r="D66" t="s">
        <v>16</v>
      </c>
      <c r="E66" t="s">
        <v>20</v>
      </c>
      <c r="F66" t="s">
        <v>20</v>
      </c>
      <c r="G66">
        <v>758</v>
      </c>
      <c r="I66" t="s">
        <v>112</v>
      </c>
      <c r="J66">
        <v>1951</v>
      </c>
      <c r="K66">
        <v>5</v>
      </c>
      <c r="M66" t="str">
        <f>HYPERLINK("https://github.com/lawrencekim5/SCAMR_Helper_SampleSourceCode/blob/main/\Objects\typevarobject.c#L1951", "\Objects\typevarobject.c#L1951")</f>
        <v>\Objects\typevarobject.c#L1951</v>
      </c>
      <c r="N66" t="str">
        <f>HYPERLINK("https://cwe.mitre.org/data/definitions/758.html", "CWE: 758")</f>
        <v>CWE: 758</v>
      </c>
      <c r="O66" t="s">
        <v>234</v>
      </c>
      <c r="P66" t="s">
        <v>270</v>
      </c>
    </row>
    <row r="67" spans="1:16" x14ac:dyDescent="0.3">
      <c r="A67">
        <v>2</v>
      </c>
      <c r="B67" t="s">
        <v>14</v>
      </c>
      <c r="C67" t="s">
        <v>24</v>
      </c>
      <c r="D67" t="s">
        <v>16</v>
      </c>
      <c r="E67" t="s">
        <v>113</v>
      </c>
      <c r="F67" t="s">
        <v>113</v>
      </c>
      <c r="G67">
        <v>788</v>
      </c>
      <c r="I67" t="s">
        <v>114</v>
      </c>
      <c r="J67">
        <v>98</v>
      </c>
      <c r="K67">
        <v>12</v>
      </c>
      <c r="L67" t="s">
        <v>115</v>
      </c>
      <c r="M67" t="str">
        <f>HYPERLINK("https://github.com/lawrencekim5/SCAMR_Helper_SampleSourceCode/blob/main/\Objects\mimalloc\random.c#L98", "\Objects\mimalloc\random.c#L98")</f>
        <v>\Objects\mimalloc\random.c#L98</v>
      </c>
      <c r="N67" t="str">
        <f>HYPERLINK("https://cwe.mitre.org/data/definitions/788.html", "CWE: 788")</f>
        <v>CWE: 788</v>
      </c>
      <c r="O67" t="s">
        <v>235</v>
      </c>
      <c r="P67" t="s">
        <v>271</v>
      </c>
    </row>
    <row r="68" spans="1:16" hidden="1" x14ac:dyDescent="0.3">
      <c r="A68">
        <v>2</v>
      </c>
      <c r="B68" t="s">
        <v>14</v>
      </c>
      <c r="C68" t="s">
        <v>24</v>
      </c>
      <c r="D68" t="s">
        <v>16</v>
      </c>
      <c r="E68" t="s">
        <v>113</v>
      </c>
      <c r="F68" t="s">
        <v>113</v>
      </c>
      <c r="G68">
        <v>788</v>
      </c>
      <c r="I68" t="s">
        <v>114</v>
      </c>
      <c r="J68">
        <v>94</v>
      </c>
      <c r="K68">
        <v>11</v>
      </c>
      <c r="L68" t="s">
        <v>116</v>
      </c>
      <c r="M68" t="str">
        <f>HYPERLINK("https://github.com/lawrencekim5/SCAMR_Helper_SampleSourceCode/blob/main/\Objects\mimalloc\random.c#L94", "\Objects\mimalloc\random.c#L94")</f>
        <v>\Objects\mimalloc\random.c#L94</v>
      </c>
      <c r="N68" t="str">
        <f>HYPERLINK("https://cwe.mitre.org/data/definitions/788.html", "CWE: 788")</f>
        <v>CWE: 788</v>
      </c>
      <c r="O68" t="s">
        <v>236</v>
      </c>
      <c r="P68" t="s">
        <v>270</v>
      </c>
    </row>
    <row r="69" spans="1:16" x14ac:dyDescent="0.3">
      <c r="A69">
        <v>2</v>
      </c>
      <c r="B69" t="s">
        <v>14</v>
      </c>
      <c r="C69" t="s">
        <v>24</v>
      </c>
      <c r="D69" t="s">
        <v>16</v>
      </c>
      <c r="E69" t="s">
        <v>117</v>
      </c>
      <c r="F69" t="s">
        <v>117</v>
      </c>
      <c r="G69">
        <v>788</v>
      </c>
      <c r="I69" t="s">
        <v>118</v>
      </c>
      <c r="J69">
        <v>60</v>
      </c>
      <c r="K69">
        <v>10</v>
      </c>
      <c r="L69" t="s">
        <v>115</v>
      </c>
      <c r="M69" t="str">
        <f>HYPERLINK("https://github.com/lawrencekim5/SCAMR_Helper_SampleSourceCode/blob/main/\Objects\mimalloc\stats.c#L60", "\Objects\mimalloc\stats.c#L60")</f>
        <v>\Objects\mimalloc\stats.c#L60</v>
      </c>
      <c r="N69" t="str">
        <f>HYPERLINK("https://cwe.mitre.org/data/definitions/788.html", "CWE: 788")</f>
        <v>CWE: 788</v>
      </c>
      <c r="O69" t="s">
        <v>237</v>
      </c>
      <c r="P69" t="s">
        <v>271</v>
      </c>
    </row>
    <row r="70" spans="1:16" hidden="1" x14ac:dyDescent="0.3">
      <c r="A70">
        <v>2</v>
      </c>
      <c r="B70" t="s">
        <v>14</v>
      </c>
      <c r="C70" t="s">
        <v>24</v>
      </c>
      <c r="D70" t="s">
        <v>16</v>
      </c>
      <c r="E70" t="s">
        <v>117</v>
      </c>
      <c r="F70" t="s">
        <v>117</v>
      </c>
      <c r="G70">
        <v>788</v>
      </c>
      <c r="I70" t="s">
        <v>118</v>
      </c>
      <c r="J70">
        <v>56</v>
      </c>
      <c r="K70">
        <v>11</v>
      </c>
      <c r="L70" t="s">
        <v>116</v>
      </c>
      <c r="M70" t="str">
        <f>HYPERLINK("https://github.com/lawrencekim5/SCAMR_Helper_SampleSourceCode/blob/main/\Objects\mimalloc\stats.c#L56", "\Objects\mimalloc\stats.c#L56")</f>
        <v>\Objects\mimalloc\stats.c#L56</v>
      </c>
      <c r="N70" t="str">
        <f>HYPERLINK("https://cwe.mitre.org/data/definitions/788.html", "CWE: 788")</f>
        <v>CWE: 788</v>
      </c>
      <c r="O70" t="s">
        <v>238</v>
      </c>
      <c r="P70" t="s">
        <v>270</v>
      </c>
    </row>
    <row r="71" spans="1:16" x14ac:dyDescent="0.3">
      <c r="A71">
        <v>2</v>
      </c>
      <c r="B71" t="s">
        <v>14</v>
      </c>
      <c r="C71" t="s">
        <v>119</v>
      </c>
      <c r="D71" t="s">
        <v>16</v>
      </c>
      <c r="E71" t="s">
        <v>120</v>
      </c>
      <c r="F71" t="s">
        <v>120</v>
      </c>
      <c r="G71">
        <v>415</v>
      </c>
      <c r="I71" t="s">
        <v>121</v>
      </c>
      <c r="J71">
        <v>349</v>
      </c>
      <c r="K71">
        <v>5</v>
      </c>
      <c r="M71" t="str">
        <f>HYPERLINK("https://github.com/lawrencekim5/SCAMR_Helper_SampleSourceCode/blob/main/\Objects\mimalloc\prim\unix\prim.c#L349", "\Objects\mimalloc\prim\unix\prim.c#L349")</f>
        <v>\Objects\mimalloc\prim\unix\prim.c#L349</v>
      </c>
      <c r="N71" t="str">
        <f>HYPERLINK("https://cwe.mitre.org/data/definitions/415.html", "CWE: 415")</f>
        <v>CWE: 415</v>
      </c>
      <c r="O71" t="s">
        <v>239</v>
      </c>
      <c r="P71" t="s">
        <v>271</v>
      </c>
    </row>
    <row r="72" spans="1:16" hidden="1" x14ac:dyDescent="0.3">
      <c r="A72">
        <v>2</v>
      </c>
      <c r="B72" t="s">
        <v>14</v>
      </c>
      <c r="C72" t="s">
        <v>22</v>
      </c>
      <c r="D72" t="s">
        <v>16</v>
      </c>
      <c r="E72" t="s">
        <v>122</v>
      </c>
      <c r="F72" t="s">
        <v>122</v>
      </c>
      <c r="G72">
        <v>457</v>
      </c>
      <c r="I72" t="s">
        <v>121</v>
      </c>
      <c r="J72">
        <v>645</v>
      </c>
      <c r="K72">
        <v>66</v>
      </c>
      <c r="M72" t="str">
        <f>HYPERLINK("https://github.com/lawrencekim5/SCAMR_Helper_SampleSourceCode/blob/main/\Objects\mimalloc\prim\unix\prim.c#L645", "\Objects\mimalloc\prim\unix\prim.c#L645")</f>
        <v>\Objects\mimalloc\prim\unix\prim.c#L645</v>
      </c>
      <c r="N72" t="str">
        <f>HYPERLINK("https://cwe.mitre.org/data/definitions/457.html", "CWE: 457")</f>
        <v>CWE: 457</v>
      </c>
      <c r="O72" t="s">
        <v>240</v>
      </c>
      <c r="P72" t="s">
        <v>270</v>
      </c>
    </row>
    <row r="73" spans="1:16" x14ac:dyDescent="0.3">
      <c r="A73">
        <v>2</v>
      </c>
      <c r="B73" t="s">
        <v>14</v>
      </c>
      <c r="C73" t="s">
        <v>123</v>
      </c>
      <c r="D73" t="s">
        <v>16</v>
      </c>
      <c r="E73" t="s">
        <v>124</v>
      </c>
      <c r="F73" t="s">
        <v>124</v>
      </c>
      <c r="G73">
        <v>369</v>
      </c>
      <c r="I73" t="s">
        <v>125</v>
      </c>
      <c r="J73">
        <v>129</v>
      </c>
      <c r="K73">
        <v>12</v>
      </c>
      <c r="L73" t="s">
        <v>126</v>
      </c>
      <c r="M73" t="str">
        <f>HYPERLINK("https://github.com/lawrencekim5/SCAMR_Helper_SampleSourceCode/blob/main/\Parser\myreadline.c#L129", "\Parser\myreadline.c#L129")</f>
        <v>\Parser\myreadline.c#L129</v>
      </c>
      <c r="N73" t="str">
        <f t="shared" ref="N73:N78" si="2">HYPERLINK("https://cwe.mitre.org/data/definitions/369.html", "CWE: 369")</f>
        <v>CWE: 369</v>
      </c>
      <c r="O73" t="s">
        <v>241</v>
      </c>
      <c r="P73" t="s">
        <v>271</v>
      </c>
    </row>
    <row r="74" spans="1:16" hidden="1" x14ac:dyDescent="0.3">
      <c r="A74">
        <v>2</v>
      </c>
      <c r="B74" t="s">
        <v>14</v>
      </c>
      <c r="C74" t="s">
        <v>123</v>
      </c>
      <c r="D74" t="s">
        <v>16</v>
      </c>
      <c r="E74" t="s">
        <v>124</v>
      </c>
      <c r="F74" t="s">
        <v>124</v>
      </c>
      <c r="G74">
        <v>369</v>
      </c>
      <c r="I74" t="s">
        <v>125</v>
      </c>
      <c r="J74">
        <v>126</v>
      </c>
      <c r="K74">
        <v>11</v>
      </c>
      <c r="L74" t="s">
        <v>127</v>
      </c>
      <c r="M74" t="str">
        <f>HYPERLINK("https://github.com/lawrencekim5/SCAMR_Helper_SampleSourceCode/blob/main/\Parser\myreadline.c#L126", "\Parser\myreadline.c#L126")</f>
        <v>\Parser\myreadline.c#L126</v>
      </c>
      <c r="N74" t="str">
        <f t="shared" si="2"/>
        <v>CWE: 369</v>
      </c>
      <c r="O74" t="s">
        <v>242</v>
      </c>
      <c r="P74" t="s">
        <v>270</v>
      </c>
    </row>
    <row r="75" spans="1:16" x14ac:dyDescent="0.3">
      <c r="A75">
        <v>2</v>
      </c>
      <c r="B75" t="s">
        <v>14</v>
      </c>
      <c r="C75" t="s">
        <v>123</v>
      </c>
      <c r="D75" t="s">
        <v>16</v>
      </c>
      <c r="E75" t="s">
        <v>124</v>
      </c>
      <c r="F75" t="s">
        <v>124</v>
      </c>
      <c r="G75">
        <v>369</v>
      </c>
      <c r="I75" t="s">
        <v>128</v>
      </c>
      <c r="J75">
        <v>86</v>
      </c>
      <c r="K75">
        <v>11</v>
      </c>
      <c r="L75" t="s">
        <v>127</v>
      </c>
      <c r="M75" t="str">
        <f>HYPERLINK("https://github.com/lawrencekim5/SCAMR_Helper_SampleSourceCode/blob/main/\Parser\lexer\state.c#L86", "\Parser\lexer\state.c#L86")</f>
        <v>\Parser\lexer\state.c#L86</v>
      </c>
      <c r="N75" t="str">
        <f t="shared" si="2"/>
        <v>CWE: 369</v>
      </c>
      <c r="O75" t="s">
        <v>243</v>
      </c>
      <c r="P75" t="s">
        <v>271</v>
      </c>
    </row>
    <row r="76" spans="1:16" hidden="1" x14ac:dyDescent="0.3">
      <c r="A76">
        <v>2</v>
      </c>
      <c r="B76" t="s">
        <v>14</v>
      </c>
      <c r="C76" t="s">
        <v>123</v>
      </c>
      <c r="D76" t="s">
        <v>16</v>
      </c>
      <c r="E76" t="s">
        <v>124</v>
      </c>
      <c r="F76" t="s">
        <v>124</v>
      </c>
      <c r="G76">
        <v>369</v>
      </c>
      <c r="I76" t="s">
        <v>129</v>
      </c>
      <c r="J76">
        <v>118</v>
      </c>
      <c r="K76">
        <v>8</v>
      </c>
      <c r="M76" t="str">
        <f>HYPERLINK("https://github.com/lawrencekim5/SCAMR_Helper_SampleSourceCode/blob/main/\Parser\tokenizer\string_tokenizer.c#L118", "\Parser\tokenizer\string_tokenizer.c#L118")</f>
        <v>\Parser\tokenizer\string_tokenizer.c#L118</v>
      </c>
      <c r="N76" t="str">
        <f t="shared" si="2"/>
        <v>CWE: 369</v>
      </c>
      <c r="O76" t="s">
        <v>244</v>
      </c>
      <c r="P76" t="s">
        <v>270</v>
      </c>
    </row>
    <row r="77" spans="1:16" x14ac:dyDescent="0.3">
      <c r="A77">
        <v>2</v>
      </c>
      <c r="B77" t="s">
        <v>14</v>
      </c>
      <c r="C77" t="s">
        <v>123</v>
      </c>
      <c r="D77" t="s">
        <v>16</v>
      </c>
      <c r="E77" t="s">
        <v>124</v>
      </c>
      <c r="F77" t="s">
        <v>124</v>
      </c>
      <c r="G77">
        <v>369</v>
      </c>
      <c r="I77" t="s">
        <v>130</v>
      </c>
      <c r="J77">
        <v>33</v>
      </c>
      <c r="K77">
        <v>8</v>
      </c>
      <c r="L77" t="s">
        <v>126</v>
      </c>
      <c r="M77" t="str">
        <f>HYPERLINK("https://github.com/lawrencekim5/SCAMR_Helper_SampleSourceCode/blob/main/\Parser\tokenizer\utf8_tokenizer.c#L33", "\Parser\tokenizer\utf8_tokenizer.c#L33")</f>
        <v>\Parser\tokenizer\utf8_tokenizer.c#L33</v>
      </c>
      <c r="N77" t="str">
        <f t="shared" si="2"/>
        <v>CWE: 369</v>
      </c>
      <c r="O77" t="s">
        <v>245</v>
      </c>
      <c r="P77" t="s">
        <v>271</v>
      </c>
    </row>
    <row r="78" spans="1:16" hidden="1" x14ac:dyDescent="0.3">
      <c r="A78">
        <v>2</v>
      </c>
      <c r="B78" t="s">
        <v>14</v>
      </c>
      <c r="C78" t="s">
        <v>123</v>
      </c>
      <c r="D78" t="s">
        <v>16</v>
      </c>
      <c r="E78" t="s">
        <v>124</v>
      </c>
      <c r="F78" t="s">
        <v>124</v>
      </c>
      <c r="G78">
        <v>369</v>
      </c>
      <c r="I78" t="s">
        <v>130</v>
      </c>
      <c r="J78">
        <v>32</v>
      </c>
      <c r="K78">
        <v>10</v>
      </c>
      <c r="L78" t="s">
        <v>131</v>
      </c>
      <c r="M78" t="str">
        <f>HYPERLINK("https://github.com/lawrencekim5/SCAMR_Helper_SampleSourceCode/blob/main/\Parser\tokenizer\utf8_tokenizer.c#L32", "\Parser\tokenizer\utf8_tokenizer.c#L32")</f>
        <v>\Parser\tokenizer\utf8_tokenizer.c#L32</v>
      </c>
      <c r="N78" t="str">
        <f t="shared" si="2"/>
        <v>CWE: 369</v>
      </c>
      <c r="O78" t="s">
        <v>246</v>
      </c>
      <c r="P78" t="s">
        <v>270</v>
      </c>
    </row>
    <row r="79" spans="1:16" x14ac:dyDescent="0.3">
      <c r="A79">
        <v>2</v>
      </c>
      <c r="B79" t="s">
        <v>14</v>
      </c>
      <c r="C79" t="s">
        <v>19</v>
      </c>
      <c r="D79" t="s">
        <v>16</v>
      </c>
      <c r="E79" t="s">
        <v>20</v>
      </c>
      <c r="F79" t="s">
        <v>20</v>
      </c>
      <c r="G79">
        <v>758</v>
      </c>
      <c r="I79" t="s">
        <v>132</v>
      </c>
      <c r="J79">
        <v>373</v>
      </c>
      <c r="K79">
        <v>5</v>
      </c>
      <c r="M79" t="str">
        <f>HYPERLINK("https://github.com/lawrencekim5/SCAMR_Helper_SampleSourceCode/blob/main/\Python\_warnings.c#L373", "\Python\_warnings.c#L373")</f>
        <v>\Python\_warnings.c#L373</v>
      </c>
      <c r="N79" t="str">
        <f>HYPERLINK("https://cwe.mitre.org/data/definitions/758.html", "CWE: 758")</f>
        <v>CWE: 758</v>
      </c>
      <c r="O79" t="s">
        <v>247</v>
      </c>
      <c r="P79" t="s">
        <v>271</v>
      </c>
    </row>
    <row r="80" spans="1:16" hidden="1" x14ac:dyDescent="0.3">
      <c r="A80">
        <v>2</v>
      </c>
      <c r="B80" t="s">
        <v>14</v>
      </c>
      <c r="C80" t="s">
        <v>19</v>
      </c>
      <c r="D80" t="s">
        <v>16</v>
      </c>
      <c r="E80" t="s">
        <v>20</v>
      </c>
      <c r="F80" t="s">
        <v>20</v>
      </c>
      <c r="G80">
        <v>758</v>
      </c>
      <c r="I80" t="s">
        <v>132</v>
      </c>
      <c r="J80">
        <v>1314</v>
      </c>
      <c r="K80">
        <v>5</v>
      </c>
      <c r="M80" t="str">
        <f>HYPERLINK("https://github.com/lawrencekim5/SCAMR_Helper_SampleSourceCode/blob/main/\Python\_warnings.c#L1314", "\Python\_warnings.c#L1314")</f>
        <v>\Python\_warnings.c#L1314</v>
      </c>
      <c r="N80" t="str">
        <f>HYPERLINK("https://cwe.mitre.org/data/definitions/758.html", "CWE: 758")</f>
        <v>CWE: 758</v>
      </c>
      <c r="O80" t="s">
        <v>248</v>
      </c>
      <c r="P80" t="s">
        <v>270</v>
      </c>
    </row>
    <row r="81" spans="1:16" x14ac:dyDescent="0.3">
      <c r="A81">
        <v>2</v>
      </c>
      <c r="B81" t="s">
        <v>14</v>
      </c>
      <c r="C81" t="s">
        <v>24</v>
      </c>
      <c r="D81" t="s">
        <v>16</v>
      </c>
      <c r="E81" t="s">
        <v>133</v>
      </c>
      <c r="F81" t="s">
        <v>133</v>
      </c>
      <c r="G81">
        <v>788</v>
      </c>
      <c r="I81" t="s">
        <v>134</v>
      </c>
      <c r="J81">
        <v>62</v>
      </c>
      <c r="K81">
        <v>50</v>
      </c>
      <c r="M81" t="str">
        <f>HYPERLINK("https://github.com/lawrencekim5/SCAMR_Helper_SampleSourceCode/blob/main/\Python\ast.c#L62", "\Python\ast.c#L62")</f>
        <v>\Python\ast.c#L62</v>
      </c>
      <c r="N81" t="str">
        <f>HYPERLINK("https://cwe.mitre.org/data/definitions/788.html", "CWE: 788")</f>
        <v>CWE: 788</v>
      </c>
      <c r="O81" t="s">
        <v>249</v>
      </c>
      <c r="P81" t="s">
        <v>271</v>
      </c>
    </row>
    <row r="82" spans="1:16" hidden="1" x14ac:dyDescent="0.3">
      <c r="A82">
        <v>2</v>
      </c>
      <c r="B82" t="s">
        <v>14</v>
      </c>
      <c r="C82" t="s">
        <v>19</v>
      </c>
      <c r="D82" t="s">
        <v>16</v>
      </c>
      <c r="E82" t="s">
        <v>20</v>
      </c>
      <c r="F82" t="s">
        <v>20</v>
      </c>
      <c r="G82">
        <v>758</v>
      </c>
      <c r="I82" t="s">
        <v>135</v>
      </c>
      <c r="J82">
        <v>1768</v>
      </c>
      <c r="K82">
        <v>5</v>
      </c>
      <c r="M82" t="str">
        <f>HYPERLINK("https://github.com/lawrencekim5/SCAMR_Helper_SampleSourceCode/blob/main/\Python\bltinmodule.c#L1768", "\Python\bltinmodule.c#L1768")</f>
        <v>\Python\bltinmodule.c#L1768</v>
      </c>
      <c r="N82" t="str">
        <f>HYPERLINK("https://cwe.mitre.org/data/definitions/758.html", "CWE: 758")</f>
        <v>CWE: 758</v>
      </c>
      <c r="O82" t="s">
        <v>250</v>
      </c>
      <c r="P82" t="s">
        <v>270</v>
      </c>
    </row>
    <row r="83" spans="1:16" x14ac:dyDescent="0.3">
      <c r="A83">
        <v>2</v>
      </c>
      <c r="B83" t="s">
        <v>14</v>
      </c>
      <c r="C83" t="s">
        <v>19</v>
      </c>
      <c r="D83" t="s">
        <v>16</v>
      </c>
      <c r="E83" t="s">
        <v>20</v>
      </c>
      <c r="F83" t="s">
        <v>20</v>
      </c>
      <c r="G83">
        <v>758</v>
      </c>
      <c r="I83" t="s">
        <v>135</v>
      </c>
      <c r="J83">
        <v>3289</v>
      </c>
      <c r="K83">
        <v>5</v>
      </c>
      <c r="M83" t="str">
        <f>HYPERLINK("https://github.com/lawrencekim5/SCAMR_Helper_SampleSourceCode/blob/main/\Python\bltinmodule.c#L3289", "\Python\bltinmodule.c#L3289")</f>
        <v>\Python\bltinmodule.c#L3289</v>
      </c>
      <c r="N83" t="str">
        <f>HYPERLINK("https://cwe.mitre.org/data/definitions/758.html", "CWE: 758")</f>
        <v>CWE: 758</v>
      </c>
      <c r="O83" t="s">
        <v>251</v>
      </c>
      <c r="P83" t="s">
        <v>271</v>
      </c>
    </row>
    <row r="84" spans="1:16" hidden="1" x14ac:dyDescent="0.3">
      <c r="A84">
        <v>2</v>
      </c>
      <c r="B84" t="s">
        <v>14</v>
      </c>
      <c r="C84" t="s">
        <v>69</v>
      </c>
      <c r="D84" t="s">
        <v>16</v>
      </c>
      <c r="E84" t="s">
        <v>70</v>
      </c>
      <c r="F84" t="s">
        <v>71</v>
      </c>
      <c r="G84">
        <v>562</v>
      </c>
      <c r="I84" t="s">
        <v>136</v>
      </c>
      <c r="J84">
        <v>1260</v>
      </c>
      <c r="K84">
        <v>5</v>
      </c>
      <c r="M84" t="str">
        <f>HYPERLINK("https://github.com/lawrencekim5/SCAMR_Helper_SampleSourceCode/blob/main/\Python\ceval.c#L1260", "\Python\ceval.c#L1260")</f>
        <v>\Python\ceval.c#L1260</v>
      </c>
      <c r="N84" t="str">
        <f>HYPERLINK("https://cwe.mitre.org/data/definitions/562.html", "CWE: 562")</f>
        <v>CWE: 562</v>
      </c>
      <c r="O84" t="s">
        <v>252</v>
      </c>
      <c r="P84" t="s">
        <v>270</v>
      </c>
    </row>
    <row r="85" spans="1:16" x14ac:dyDescent="0.3">
      <c r="A85">
        <v>2</v>
      </c>
      <c r="B85" t="s">
        <v>14</v>
      </c>
      <c r="C85" t="s">
        <v>98</v>
      </c>
      <c r="D85" t="s">
        <v>16</v>
      </c>
      <c r="E85" t="s">
        <v>137</v>
      </c>
      <c r="F85" t="s">
        <v>137</v>
      </c>
      <c r="G85">
        <v>401</v>
      </c>
      <c r="I85" t="s">
        <v>136</v>
      </c>
      <c r="J85">
        <v>280</v>
      </c>
      <c r="K85">
        <v>1</v>
      </c>
      <c r="M85" t="str">
        <f>HYPERLINK("https://github.com/lawrencekim5/SCAMR_Helper_SampleSourceCode/blob/main/\Python\ceval.c#L280", "\Python\ceval.c#L280")</f>
        <v>\Python\ceval.c#L280</v>
      </c>
      <c r="N85" t="str">
        <f>HYPERLINK("https://cwe.mitre.org/data/definitions/401.html", "CWE: 401")</f>
        <v>CWE: 401</v>
      </c>
      <c r="O85" t="s">
        <v>253</v>
      </c>
      <c r="P85" t="s">
        <v>271</v>
      </c>
    </row>
    <row r="86" spans="1:16" hidden="1" x14ac:dyDescent="0.3">
      <c r="A86">
        <v>2</v>
      </c>
      <c r="B86" t="s">
        <v>14</v>
      </c>
      <c r="C86" t="s">
        <v>46</v>
      </c>
      <c r="D86" t="s">
        <v>30</v>
      </c>
      <c r="E86" t="s">
        <v>138</v>
      </c>
      <c r="F86" t="s">
        <v>138</v>
      </c>
      <c r="G86">
        <v>476</v>
      </c>
      <c r="I86" t="s">
        <v>139</v>
      </c>
      <c r="J86">
        <v>635</v>
      </c>
      <c r="K86">
        <v>29</v>
      </c>
      <c r="L86" t="s">
        <v>41</v>
      </c>
      <c r="M86" t="str">
        <f>HYPERLINK("https://github.com/lawrencekim5/SCAMR_Helper_SampleSourceCode/blob/main/\Python\crossinterp.c#L635", "\Python\crossinterp.c#L635")</f>
        <v>\Python\crossinterp.c#L635</v>
      </c>
      <c r="N86" t="str">
        <f>HYPERLINK("https://cwe.mitre.org/data/definitions/476.html", "CWE: 476")</f>
        <v>CWE: 476</v>
      </c>
      <c r="O86" t="s">
        <v>254</v>
      </c>
      <c r="P86" t="s">
        <v>270</v>
      </c>
    </row>
    <row r="87" spans="1:16" x14ac:dyDescent="0.3">
      <c r="A87">
        <v>2</v>
      </c>
      <c r="B87" t="s">
        <v>14</v>
      </c>
      <c r="C87" t="s">
        <v>46</v>
      </c>
      <c r="D87" t="s">
        <v>30</v>
      </c>
      <c r="E87" t="s">
        <v>138</v>
      </c>
      <c r="F87" t="s">
        <v>138</v>
      </c>
      <c r="G87">
        <v>476</v>
      </c>
      <c r="I87" t="s">
        <v>139</v>
      </c>
      <c r="J87">
        <v>649</v>
      </c>
      <c r="K87">
        <v>13</v>
      </c>
      <c r="L87" t="s">
        <v>140</v>
      </c>
      <c r="M87" t="str">
        <f>HYPERLINK("https://github.com/lawrencekim5/SCAMR_Helper_SampleSourceCode/blob/main/\Python\crossinterp.c#L649", "\Python\crossinterp.c#L649")</f>
        <v>\Python\crossinterp.c#L649</v>
      </c>
      <c r="N87" t="str">
        <f>HYPERLINK("https://cwe.mitre.org/data/definitions/476.html", "CWE: 476")</f>
        <v>CWE: 476</v>
      </c>
      <c r="O87" t="s">
        <v>255</v>
      </c>
      <c r="P87" t="s">
        <v>271</v>
      </c>
    </row>
    <row r="88" spans="1:16" hidden="1" x14ac:dyDescent="0.3">
      <c r="A88">
        <v>2</v>
      </c>
      <c r="B88" t="s">
        <v>14</v>
      </c>
      <c r="C88" t="s">
        <v>38</v>
      </c>
      <c r="D88" t="s">
        <v>16</v>
      </c>
      <c r="E88" t="s">
        <v>141</v>
      </c>
      <c r="F88" t="s">
        <v>141</v>
      </c>
      <c r="G88">
        <v>476</v>
      </c>
      <c r="I88" t="s">
        <v>142</v>
      </c>
      <c r="J88">
        <v>953</v>
      </c>
      <c r="K88">
        <v>20</v>
      </c>
      <c r="L88" t="s">
        <v>143</v>
      </c>
      <c r="M88" t="str">
        <f>HYPERLINK("https://github.com/lawrencekim5/SCAMR_Helper_SampleSourceCode/blob/main/\Python\errors.c#L953", "\Python\errors.c#L953")</f>
        <v>\Python\errors.c#L953</v>
      </c>
      <c r="N88" t="str">
        <f>HYPERLINK("https://cwe.mitre.org/data/definitions/476.html", "CWE: 476")</f>
        <v>CWE: 476</v>
      </c>
      <c r="O88" t="s">
        <v>256</v>
      </c>
      <c r="P88" t="s">
        <v>270</v>
      </c>
    </row>
    <row r="89" spans="1:16" x14ac:dyDescent="0.3">
      <c r="A89">
        <v>2</v>
      </c>
      <c r="B89" t="s">
        <v>14</v>
      </c>
      <c r="C89" t="s">
        <v>38</v>
      </c>
      <c r="D89" t="s">
        <v>16</v>
      </c>
      <c r="E89" t="s">
        <v>144</v>
      </c>
      <c r="F89" t="s">
        <v>144</v>
      </c>
      <c r="G89">
        <v>476</v>
      </c>
      <c r="I89" t="s">
        <v>145</v>
      </c>
      <c r="J89">
        <v>33</v>
      </c>
      <c r="K89">
        <v>9</v>
      </c>
      <c r="L89" t="s">
        <v>41</v>
      </c>
      <c r="M89" t="str">
        <f>HYPERLINK("https://github.com/lawrencekim5/SCAMR_Helper_SampleSourceCode/blob/main/\Python\gc.c#L33", "\Python\gc.c#L33")</f>
        <v>\Python\gc.c#L33</v>
      </c>
      <c r="N89" t="str">
        <f>HYPERLINK("https://cwe.mitre.org/data/definitions/476.html", "CWE: 476")</f>
        <v>CWE: 476</v>
      </c>
      <c r="O89" t="s">
        <v>257</v>
      </c>
      <c r="P89" t="s">
        <v>271</v>
      </c>
    </row>
    <row r="90" spans="1:16" hidden="1" x14ac:dyDescent="0.3">
      <c r="A90">
        <v>2</v>
      </c>
      <c r="B90" t="s">
        <v>14</v>
      </c>
      <c r="C90" t="s">
        <v>38</v>
      </c>
      <c r="D90" t="s">
        <v>16</v>
      </c>
      <c r="E90" t="s">
        <v>144</v>
      </c>
      <c r="F90" t="s">
        <v>144</v>
      </c>
      <c r="G90">
        <v>476</v>
      </c>
      <c r="I90" t="s">
        <v>145</v>
      </c>
      <c r="J90">
        <v>32</v>
      </c>
      <c r="K90">
        <v>11</v>
      </c>
      <c r="L90" t="s">
        <v>146</v>
      </c>
      <c r="M90" t="str">
        <f>HYPERLINK("https://github.com/lawrencekim5/SCAMR_Helper_SampleSourceCode/blob/main/\Python\gc.c#L32", "\Python\gc.c#L32")</f>
        <v>\Python\gc.c#L32</v>
      </c>
      <c r="N90" t="str">
        <f>HYPERLINK("https://cwe.mitre.org/data/definitions/476.html", "CWE: 476")</f>
        <v>CWE: 476</v>
      </c>
      <c r="O90" t="s">
        <v>258</v>
      </c>
      <c r="P90" t="s">
        <v>270</v>
      </c>
    </row>
    <row r="91" spans="1:16" x14ac:dyDescent="0.3">
      <c r="A91">
        <v>2</v>
      </c>
      <c r="B91" t="s">
        <v>14</v>
      </c>
      <c r="C91" t="s">
        <v>22</v>
      </c>
      <c r="D91" t="s">
        <v>30</v>
      </c>
      <c r="E91" t="s">
        <v>147</v>
      </c>
      <c r="F91" t="s">
        <v>147</v>
      </c>
      <c r="G91">
        <v>457</v>
      </c>
      <c r="I91" t="s">
        <v>148</v>
      </c>
      <c r="J91">
        <v>221</v>
      </c>
      <c r="K91">
        <v>23</v>
      </c>
      <c r="L91" t="s">
        <v>45</v>
      </c>
      <c r="M91" t="str">
        <f>HYPERLINK("https://github.com/lawrencekim5/SCAMR_Helper_SampleSourceCode/blob/main/\Python\instrumentation.c#L221", "\Python\instrumentation.c#L221")</f>
        <v>\Python\instrumentation.c#L221</v>
      </c>
      <c r="N91" t="str">
        <f>HYPERLINK("https://cwe.mitre.org/data/definitions/457.html", "CWE: 457")</f>
        <v>CWE: 457</v>
      </c>
      <c r="O91" t="s">
        <v>259</v>
      </c>
      <c r="P91" t="s">
        <v>271</v>
      </c>
    </row>
    <row r="92" spans="1:16" hidden="1" x14ac:dyDescent="0.3">
      <c r="A92">
        <v>2</v>
      </c>
      <c r="B92" t="s">
        <v>14</v>
      </c>
      <c r="C92" t="s">
        <v>22</v>
      </c>
      <c r="D92" t="s">
        <v>16</v>
      </c>
      <c r="E92" t="s">
        <v>149</v>
      </c>
      <c r="F92" t="s">
        <v>149</v>
      </c>
      <c r="G92">
        <v>457</v>
      </c>
      <c r="I92" t="s">
        <v>150</v>
      </c>
      <c r="J92">
        <v>750</v>
      </c>
      <c r="K92">
        <v>21</v>
      </c>
      <c r="L92" t="s">
        <v>151</v>
      </c>
      <c r="M92" t="str">
        <f>HYPERLINK("https://github.com/lawrencekim5/SCAMR_Helper_SampleSourceCode/blob/main/\Python\marshal.c#L750", "\Python\marshal.c#L750")</f>
        <v>\Python\marshal.c#L750</v>
      </c>
      <c r="N92" t="str">
        <f>HYPERLINK("https://cwe.mitre.org/data/definitions/457.html", "CWE: 457")</f>
        <v>CWE: 457</v>
      </c>
      <c r="O92" t="s">
        <v>260</v>
      </c>
      <c r="P92" t="s">
        <v>270</v>
      </c>
    </row>
    <row r="93" spans="1:16" x14ac:dyDescent="0.3">
      <c r="A93">
        <v>2</v>
      </c>
      <c r="B93" t="s">
        <v>14</v>
      </c>
      <c r="C93" t="s">
        <v>22</v>
      </c>
      <c r="D93" t="s">
        <v>16</v>
      </c>
      <c r="E93" t="s">
        <v>149</v>
      </c>
      <c r="F93" t="s">
        <v>149</v>
      </c>
      <c r="G93">
        <v>457</v>
      </c>
      <c r="I93" t="s">
        <v>150</v>
      </c>
      <c r="J93">
        <v>768</v>
      </c>
      <c r="K93">
        <v>21</v>
      </c>
      <c r="L93" t="s">
        <v>151</v>
      </c>
      <c r="M93" t="str">
        <f>HYPERLINK("https://github.com/lawrencekim5/SCAMR_Helper_SampleSourceCode/blob/main/\Python\marshal.c#L768", "\Python\marshal.c#L768")</f>
        <v>\Python\marshal.c#L768</v>
      </c>
      <c r="N93" t="str">
        <f>HYPERLINK("https://cwe.mitre.org/data/definitions/457.html", "CWE: 457")</f>
        <v>CWE: 457</v>
      </c>
      <c r="O93" t="s">
        <v>261</v>
      </c>
      <c r="P93" t="s">
        <v>271</v>
      </c>
    </row>
    <row r="94" spans="1:16" hidden="1" x14ac:dyDescent="0.3">
      <c r="A94">
        <v>2</v>
      </c>
      <c r="B94" t="s">
        <v>14</v>
      </c>
      <c r="C94" t="s">
        <v>152</v>
      </c>
      <c r="D94" t="s">
        <v>30</v>
      </c>
      <c r="E94" t="s">
        <v>153</v>
      </c>
      <c r="F94" t="s">
        <v>153</v>
      </c>
      <c r="G94">
        <v>686</v>
      </c>
      <c r="I94" t="s">
        <v>154</v>
      </c>
      <c r="J94">
        <v>2144</v>
      </c>
      <c r="K94">
        <v>21</v>
      </c>
      <c r="M94" t="str">
        <f>HYPERLINK("https://github.com/lawrencekim5/SCAMR_Helper_SampleSourceCode/blob/main/\Python\optimizer.c#L2144", "\Python\optimizer.c#L2144")</f>
        <v>\Python\optimizer.c#L2144</v>
      </c>
      <c r="N94" t="str">
        <f>HYPERLINK("https://cwe.mitre.org/data/definitions/686.html", "CWE: 686")</f>
        <v>CWE: 686</v>
      </c>
      <c r="O94" t="s">
        <v>262</v>
      </c>
      <c r="P94" t="s">
        <v>270</v>
      </c>
    </row>
    <row r="95" spans="1:16" x14ac:dyDescent="0.3">
      <c r="A95">
        <v>2</v>
      </c>
      <c r="B95" t="s">
        <v>14</v>
      </c>
      <c r="C95" t="s">
        <v>152</v>
      </c>
      <c r="D95" t="s">
        <v>30</v>
      </c>
      <c r="E95" t="s">
        <v>155</v>
      </c>
      <c r="F95" t="s">
        <v>155</v>
      </c>
      <c r="G95">
        <v>686</v>
      </c>
      <c r="I95" t="s">
        <v>154</v>
      </c>
      <c r="J95">
        <v>2144</v>
      </c>
      <c r="K95">
        <v>21</v>
      </c>
      <c r="M95" t="str">
        <f>HYPERLINK("https://github.com/lawrencekim5/SCAMR_Helper_SampleSourceCode/blob/main/\Python\optimizer.c#L2144", "\Python\optimizer.c#L2144")</f>
        <v>\Python\optimizer.c#L2144</v>
      </c>
      <c r="N95" t="str">
        <f>HYPERLINK("https://cwe.mitre.org/data/definitions/686.html", "CWE: 686")</f>
        <v>CWE: 686</v>
      </c>
      <c r="O95" t="s">
        <v>262</v>
      </c>
      <c r="P95" t="s">
        <v>271</v>
      </c>
    </row>
    <row r="96" spans="1:16" hidden="1" x14ac:dyDescent="0.3">
      <c r="A96">
        <v>2</v>
      </c>
      <c r="B96" t="s">
        <v>14</v>
      </c>
      <c r="C96" t="s">
        <v>156</v>
      </c>
      <c r="D96" t="s">
        <v>30</v>
      </c>
      <c r="E96" t="s">
        <v>157</v>
      </c>
      <c r="F96" t="s">
        <v>157</v>
      </c>
      <c r="G96">
        <v>398</v>
      </c>
      <c r="I96" t="s">
        <v>158</v>
      </c>
      <c r="J96">
        <v>37</v>
      </c>
      <c r="K96">
        <v>9</v>
      </c>
      <c r="M96" t="str">
        <f>HYPERLINK("https://github.com/lawrencekim5/SCAMR_Helper_SampleSourceCode/blob/main/\Python\record_functions.c.h#L37", "\Python\record_functions.c.h#L37")</f>
        <v>\Python\record_functions.c.h#L37</v>
      </c>
      <c r="N96" t="str">
        <f>HYPERLINK("https://cwe.mitre.org/data/definitions/398.html", "CWE: 398")</f>
        <v>CWE: 398</v>
      </c>
      <c r="O96" t="s">
        <v>263</v>
      </c>
      <c r="P96" t="s">
        <v>270</v>
      </c>
    </row>
    <row r="97" spans="1:16" x14ac:dyDescent="0.3">
      <c r="A97">
        <v>2</v>
      </c>
      <c r="B97" t="s">
        <v>14</v>
      </c>
      <c r="C97" t="s">
        <v>22</v>
      </c>
      <c r="D97" t="s">
        <v>16</v>
      </c>
      <c r="E97" t="s">
        <v>159</v>
      </c>
      <c r="F97" t="s">
        <v>159</v>
      </c>
      <c r="G97">
        <v>457</v>
      </c>
      <c r="I97" t="s">
        <v>160</v>
      </c>
      <c r="J97">
        <v>281</v>
      </c>
      <c r="K97">
        <v>13</v>
      </c>
      <c r="M97" t="str">
        <f>HYPERLINK("https://github.com/lawrencekim5/SCAMR_Helper_SampleSourceCode/blob/main/\Python\optimizer_bytecodes.c#L281", "\Python\optimizer_bytecodes.c#L281")</f>
        <v>\Python\optimizer_bytecodes.c#L281</v>
      </c>
      <c r="N97" t="str">
        <f>HYPERLINK("https://cwe.mitre.org/data/definitions/457.html", "CWE: 457")</f>
        <v>CWE: 457</v>
      </c>
      <c r="O97" t="s">
        <v>264</v>
      </c>
      <c r="P97" t="s">
        <v>271</v>
      </c>
    </row>
    <row r="98" spans="1:16" hidden="1" x14ac:dyDescent="0.3">
      <c r="A98">
        <v>2</v>
      </c>
      <c r="B98" t="s">
        <v>14</v>
      </c>
      <c r="C98" t="s">
        <v>98</v>
      </c>
      <c r="D98" t="s">
        <v>16</v>
      </c>
      <c r="E98" t="s">
        <v>161</v>
      </c>
      <c r="F98" t="s">
        <v>161</v>
      </c>
      <c r="G98">
        <v>401</v>
      </c>
      <c r="I98" t="s">
        <v>162</v>
      </c>
      <c r="J98">
        <v>99</v>
      </c>
      <c r="K98">
        <v>9</v>
      </c>
      <c r="M98" t="str">
        <f>HYPERLINK("https://github.com/lawrencekim5/SCAMR_Helper_SampleSourceCode/blob/main/\Python\parking_lot.c#L99", "\Python\parking_lot.c#L99")</f>
        <v>\Python\parking_lot.c#L99</v>
      </c>
      <c r="N98" t="str">
        <f>HYPERLINK("https://cwe.mitre.org/data/definitions/401.html", "CWE: 401")</f>
        <v>CWE: 401</v>
      </c>
      <c r="O98" t="s">
        <v>265</v>
      </c>
      <c r="P98" t="s">
        <v>270</v>
      </c>
    </row>
    <row r="99" spans="1:16" x14ac:dyDescent="0.3">
      <c r="A99">
        <v>2</v>
      </c>
      <c r="B99" t="s">
        <v>14</v>
      </c>
      <c r="C99" t="s">
        <v>163</v>
      </c>
      <c r="D99" t="s">
        <v>30</v>
      </c>
      <c r="E99" t="s">
        <v>164</v>
      </c>
      <c r="F99" t="s">
        <v>165</v>
      </c>
      <c r="G99">
        <v>197</v>
      </c>
      <c r="I99" t="s">
        <v>162</v>
      </c>
      <c r="J99">
        <v>104</v>
      </c>
      <c r="K99">
        <v>9</v>
      </c>
      <c r="M99" t="str">
        <f>HYPERLINK("https://github.com/lawrencekim5/SCAMR_Helper_SampleSourceCode/blob/main/\Python\parking_lot.c#L104", "\Python\parking_lot.c#L104")</f>
        <v>\Python\parking_lot.c#L104</v>
      </c>
      <c r="N99" t="str">
        <f>HYPERLINK("https://cwe.mitre.org/data/definitions/197.html", "CWE: 197")</f>
        <v>CWE: 197</v>
      </c>
      <c r="O99" t="s">
        <v>266</v>
      </c>
      <c r="P99" t="s">
        <v>271</v>
      </c>
    </row>
    <row r="100" spans="1:16" hidden="1" x14ac:dyDescent="0.3">
      <c r="A100">
        <v>2</v>
      </c>
      <c r="B100" t="s">
        <v>14</v>
      </c>
      <c r="C100" t="s">
        <v>22</v>
      </c>
      <c r="D100" t="s">
        <v>30</v>
      </c>
      <c r="E100" t="s">
        <v>166</v>
      </c>
      <c r="F100" t="s">
        <v>166</v>
      </c>
      <c r="G100">
        <v>457</v>
      </c>
      <c r="I100" t="s">
        <v>167</v>
      </c>
      <c r="J100">
        <v>571</v>
      </c>
      <c r="K100">
        <v>37</v>
      </c>
      <c r="M100" t="str">
        <f>HYPERLINK("https://github.com/lawrencekim5/SCAMR_Helper_SampleSourceCode/blob/main/\Python\specialize.c#L571", "\Python\specialize.c#L571")</f>
        <v>\Python\specialize.c#L571</v>
      </c>
      <c r="N100" t="str">
        <f>HYPERLINK("https://cwe.mitre.org/data/definitions/457.html", "CWE: 457")</f>
        <v>CWE: 457</v>
      </c>
      <c r="O100" t="s">
        <v>267</v>
      </c>
      <c r="P100" t="s">
        <v>270</v>
      </c>
    </row>
    <row r="101" spans="1:16" x14ac:dyDescent="0.3">
      <c r="A101">
        <v>2</v>
      </c>
      <c r="B101" t="s">
        <v>14</v>
      </c>
      <c r="C101" t="s">
        <v>22</v>
      </c>
      <c r="D101" t="s">
        <v>30</v>
      </c>
      <c r="E101" t="s">
        <v>166</v>
      </c>
      <c r="F101" t="s">
        <v>166</v>
      </c>
      <c r="G101">
        <v>457</v>
      </c>
      <c r="I101" t="s">
        <v>167</v>
      </c>
      <c r="J101">
        <v>524</v>
      </c>
      <c r="K101">
        <v>23</v>
      </c>
      <c r="L101" t="s">
        <v>168</v>
      </c>
      <c r="M101" t="str">
        <f>HYPERLINK("https://github.com/lawrencekim5/SCAMR_Helper_SampleSourceCode/blob/main/\Python\specialize.c#L524", "\Python\specialize.c#L524")</f>
        <v>\Python\specialize.c#L524</v>
      </c>
      <c r="N101" t="str">
        <f>HYPERLINK("https://cwe.mitre.org/data/definitions/457.html", "CWE: 457")</f>
        <v>CWE: 457</v>
      </c>
      <c r="O101" t="s">
        <v>268</v>
      </c>
      <c r="P101" t="s">
        <v>271</v>
      </c>
    </row>
  </sheetData>
  <autoFilter ref="A1:P101" xr:uid="{23D2F707-EACA-4CDF-A2C5-72AD5D013B59}">
    <filterColumn colId="15">
      <filters>
        <filter val="Experimental"/>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SCAMR_Helper_Modified_Results_f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Lawrence Kim</cp:lastModifiedBy>
  <dcterms:created xsi:type="dcterms:W3CDTF">2026-03-15T22:48:46Z</dcterms:created>
  <dcterms:modified xsi:type="dcterms:W3CDTF">2026-03-29T20:22:25Z</dcterms:modified>
</cp:coreProperties>
</file>